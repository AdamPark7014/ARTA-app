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r5ZrYd7HByPNZNyollWEvj6i49rUD7LDdAnfBDGHaw4="/>
    </ext>
  </extLst>
</workbook>
</file>

<file path=xl/sharedStrings.xml><?xml version="1.0" encoding="utf-8"?>
<sst xmlns="http://schemas.openxmlformats.org/spreadsheetml/2006/main" count="76" uniqueCount="70">
  <si>
    <t>GASTOS DE PUBLICIDAD Y CONVENIOS</t>
  </si>
  <si>
    <t>PROMOTOR: CP28 PRODUCTIONS Y ARTA PRODUCCIONES</t>
  </si>
  <si>
    <t>EVENTO: LA ÚNICA INTERNACIONAL SONORA SANTANERA Y LA SONORA DINAMITA</t>
  </si>
  <si>
    <t xml:space="preserve">FECHA: 10 DE OCRUBRE 2026 </t>
  </si>
  <si>
    <t>VENUE: AUDITORIO EXPLANADA</t>
  </si>
  <si>
    <t xml:space="preserve">HORARIO: 21:00 HRS </t>
  </si>
  <si>
    <t>CIUDAD: PUEBLA</t>
  </si>
  <si>
    <t xml:space="preserve">CONCEPTO </t>
  </si>
  <si>
    <t>CANTIDAD</t>
  </si>
  <si>
    <t xml:space="preserve">COSTO </t>
  </si>
  <si>
    <t xml:space="preserve">COSTO TOTAL </t>
  </si>
  <si>
    <t>CANTIDAD ARTA</t>
  </si>
  <si>
    <t>COSTO ARTA</t>
  </si>
  <si>
    <t>COSTO TOTAL ARTA</t>
  </si>
  <si>
    <t>PAGADO</t>
  </si>
  <si>
    <t>POR PAGAR</t>
  </si>
  <si>
    <t>PAUTA REDES</t>
  </si>
  <si>
    <t xml:space="preserve">IMPRESIÓN PENDÓN CHOLULA </t>
  </si>
  <si>
    <t xml:space="preserve">COLOCACION PENDÓN CHOLULA </t>
  </si>
  <si>
    <t xml:space="preserve">GARANTÍA PENDÓN CHOLULA </t>
  </si>
  <si>
    <t>PERMISO PENDÓN CHOLULA</t>
  </si>
  <si>
    <t>IMPRESIÓN MEDALLONES</t>
  </si>
  <si>
    <t>RENTA MEDALLONES</t>
  </si>
  <si>
    <t>MUPPI</t>
  </si>
  <si>
    <t>BARDAS</t>
  </si>
  <si>
    <t>IMPRESIÓN PAPELETA 8 CARTAS</t>
  </si>
  <si>
    <t>COLOCACIÓN PAPELETA 8 CARTAS</t>
  </si>
  <si>
    <t>VALLAS METÁLICAS</t>
  </si>
  <si>
    <t>VALLAS METALICAS</t>
  </si>
  <si>
    <t>VALLAS METALICAS UBICADAS EN DISTINTOS PUNTOS DE LA CIUDAD</t>
  </si>
  <si>
    <t>20 DORADA</t>
  </si>
  <si>
    <t>TV AZTECA</t>
  </si>
  <si>
    <t>DIFUSIÓN EN PROGRAMA "HECHOS", REDES SOCIALES Y PÁGINA WEB</t>
  </si>
  <si>
    <t>6 DORADA, 4 BLANCA Y 4 LILA</t>
  </si>
  <si>
    <t>PANTALLAS</t>
  </si>
  <si>
    <t>ZAVALETA, CIRCUITO JUAN PABLO II KAMPAI , CIRCUITO 31 SUR DURANTE 1 MES</t>
  </si>
  <si>
    <t>14 PLATINO Y 10 DORADA</t>
  </si>
  <si>
    <t>SOL DE PUEBLA</t>
  </si>
  <si>
    <t>3 NOTAS EN SITIO WEB CON 2 RÉPLICAS EN REDES SOCIALES CADA UNA Y PUBLICACIÓN DE LAS 3 NOTAS EN PERIÓDICO IMPRESO.</t>
  </si>
  <si>
    <t>6 DORADA Y 8 BLANCA</t>
  </si>
  <si>
    <t>ORO HITS</t>
  </si>
  <si>
    <t>SPOT DE 20 "7 IMPACTOS POR DÍA DE LUNES A VIERNES Y MENCIONES DURANTE 3 SEMANAS</t>
  </si>
  <si>
    <t>8 DORADA, 8 BLANCA Y 6 LILA</t>
  </si>
  <si>
    <t>LA ROMANTICA</t>
  </si>
  <si>
    <t>ULTRA</t>
  </si>
  <si>
    <t>RESTAURANTES</t>
  </si>
  <si>
    <t>10 MCCARTHY´S, 3 VILLA CAMARÓN , 1 CANTINA EL CARIÑO Y JOHN BARRIGÓN DURANTE 1 MES</t>
  </si>
  <si>
    <t>6 DORADA, 6 BLANCA Y 4 LILA</t>
  </si>
  <si>
    <t>CARLS JR</t>
  </si>
  <si>
    <t>PRESENCIA EN PANTALLAS DE SUS SUCURSALES DURANTE 1 MES</t>
  </si>
  <si>
    <t>4 DORADA, 4 BLANCA Y 4 LILA</t>
  </si>
  <si>
    <t>CRUZ DEL SUR</t>
  </si>
  <si>
    <t>PRESENCIA EN MUPPI DURANTE 1 MES</t>
  </si>
  <si>
    <t>2 DORADA Y 2 BLANCA</t>
  </si>
  <si>
    <t>QUE HACER EN PUEBLA </t>
  </si>
  <si>
    <t>PRESENCIA EN SUS REDES SOCIALES </t>
  </si>
  <si>
    <t>4 DORADA Y 8 BLANCA</t>
  </si>
  <si>
    <t>OCHO 30</t>
  </si>
  <si>
    <t>PRESENCIA EN SUCURSALES SOLESTA, CENTRO Y CHOLULA</t>
  </si>
  <si>
    <t>4 DORADA</t>
  </si>
  <si>
    <t>LIVERPOOL</t>
  </si>
  <si>
    <t xml:space="preserve">PRESENCIA EN SUCURSALES ANGELOPOLIS, CRYSTAL, SERDÁN, ATLIXCO, PARQUE PUEBLA  Y TLAXCALA, DURANTE 1 MES </t>
  </si>
  <si>
    <t>24 DORADA, 24 BLANCA Y 36 LILA</t>
  </si>
  <si>
    <t>ESTADIO DE BEISBOL HNOS SERDAN</t>
  </si>
  <si>
    <t>TOTAL</t>
  </si>
  <si>
    <t>ZONA</t>
  </si>
  <si>
    <t>PLATINO</t>
  </si>
  <si>
    <t>DORADA</t>
  </si>
  <si>
    <t>BLANCA</t>
  </si>
  <si>
    <t>LILA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</si>
</sst>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;[Red]\-&quot;$&quot;#,##0"/>
    <numFmt numFmtId="165" formatCode="&quot;$&quot;#,##0.00"/>
    <numFmt numFmtId="166" formatCode="_-&quot;$&quot;* #,##0.00_-;\-&quot;$&quot;* #,##0.00_-;_-&quot;$&quot;* &quot;-&quot;??_-;_-@"/>
  </numFmts>
  <fonts count="18">
    <font>
      <sz val="11.0"/>
      <color theme="1"/>
      <name val="Aptos Narrow"/>
      <scheme val="minor"/>
    </font>
    <font>
      <sz val="12.0"/>
      <color rgb="FF000000"/>
      <name val="Calibri"/>
    </font>
    <font>
      <b/>
      <sz val="12.0"/>
      <color rgb="FF000000"/>
      <name val="Calibri"/>
    </font>
    <font/>
    <font>
      <sz val="11.0"/>
      <color rgb="FF000000"/>
      <name val="Aptos Narrow"/>
    </font>
    <font>
      <b/>
      <sz val="11.0"/>
      <color rgb="FF000000"/>
      <name val="Aptos Narrow"/>
    </font>
    <font>
      <b/>
      <sz val="12.0"/>
      <color rgb="FFFFFFFF"/>
      <name val="Calibri"/>
    </font>
    <font>
      <b/>
      <sz val="11.0"/>
      <color theme="0"/>
      <name val="Arial"/>
    </font>
    <font>
      <sz val="11.0"/>
      <color theme="1"/>
      <name val="Aptos Narrow"/>
    </font>
    <font>
      <b/>
      <sz val="12.0"/>
      <color theme="1"/>
      <name val="Calibri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ptos Narrow"/>
    </font>
    <font>
      <i/>
      <sz val="8.0"/>
      <color theme="1"/>
      <name val="Arial"/>
    </font>
    <font>
      <b/>
      <sz val="11.0"/>
      <color theme="0"/>
      <name val="Aptos Narrow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2.0"/>
      <color rgb="FFFFFFFF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93939"/>
        <bgColor rgb="FF39393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theme="1"/>
        <bgColor theme="1"/>
      </patternFill>
    </fill>
    <fill>
      <patternFill patternType="solid">
        <fgColor rgb="FF3F3F3F"/>
        <bgColor rgb="FF3F3F3F"/>
      </patternFill>
    </fill>
    <fill>
      <patternFill patternType="solid">
        <fgColor rgb="FF434343"/>
        <bgColor rgb="FF434343"/>
      </patternFill>
    </fill>
  </fills>
  <borders count="39">
    <border/>
    <border>
      <left style="thin">
        <color rgb="FF505050"/>
      </left>
      <right/>
      <top style="thin">
        <color rgb="FF505050"/>
      </top>
      <bottom/>
    </border>
    <border>
      <left/>
      <top style="thin">
        <color rgb="FF505050"/>
      </top>
      <bottom/>
    </border>
    <border>
      <right/>
      <top style="thin">
        <color rgb="FF505050"/>
      </top>
      <bottom/>
    </border>
    <border>
      <left/>
      <right style="thin">
        <color rgb="FF505050"/>
      </right>
      <top style="thin">
        <color rgb="FF505050"/>
      </top>
    </border>
    <border>
      <left style="thin">
        <color rgb="FF505050"/>
      </left>
      <right/>
      <top/>
      <bottom/>
    </border>
    <border>
      <left/>
      <top/>
      <bottom/>
    </border>
    <border>
      <right/>
      <top/>
      <bottom/>
    </border>
    <border>
      <left/>
      <right style="thin">
        <color rgb="FF505050"/>
      </right>
    </border>
    <border>
      <left/>
      <right/>
      <top/>
      <bottom/>
    </border>
    <border>
      <left style="thin">
        <color rgb="FF50505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505050"/>
      </right>
      <bottom/>
    </border>
    <border>
      <left style="thin">
        <color rgb="FF50505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50505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/>
      <top style="thin">
        <color rgb="FF505050"/>
      </top>
      <bottom style="thin">
        <color rgb="FF505050"/>
      </bottom>
    </border>
    <border>
      <left style="thin">
        <color rgb="FF505050"/>
      </left>
      <right/>
      <top style="thin">
        <color rgb="FF000000"/>
      </top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/>
    </border>
    <border>
      <left style="thin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top style="thin">
        <color rgb="FF50505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05050"/>
      </left>
      <top style="thin">
        <color rgb="FF505050"/>
      </top>
      <bottom style="thin">
        <color rgb="FF505050"/>
      </bottom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/>
      <bottom style="thin">
        <color rgb="FF50505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505050"/>
      </left>
      <bottom style="thin">
        <color rgb="FF505050"/>
      </bottom>
    </border>
    <border>
      <left style="thin">
        <color rgb="FF505050"/>
      </left>
      <top/>
      <bottom style="thin">
        <color rgb="FF505050"/>
      </bottom>
    </border>
    <border>
      <right style="thin">
        <color rgb="FF505050"/>
      </right>
      <top/>
      <bottom style="thin">
        <color rgb="FF505050"/>
      </bottom>
    </border>
    <border>
      <left/>
      <right style="thin">
        <color rgb="FF505050"/>
      </right>
      <top/>
      <bottom/>
    </border>
    <border>
      <left style="thin">
        <color rgb="FF505050"/>
      </left>
      <right/>
      <top/>
      <bottom style="thin">
        <color rgb="FF505050"/>
      </bottom>
    </border>
    <border>
      <left/>
      <right/>
      <top/>
      <bottom style="thin">
        <color rgb="FF505050"/>
      </bottom>
    </border>
    <border>
      <left/>
      <right style="thin">
        <color rgb="FF505050"/>
      </right>
      <top/>
      <bottom style="thin">
        <color rgb="FF50505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2" fontId="1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wrapText="1"/>
    </xf>
    <xf borderId="5" fillId="2" fontId="2" numFmtId="0" xfId="0" applyAlignment="1" applyBorder="1" applyFill="1" applyFont="1">
      <alignment shrinkToFit="0" vertical="center" wrapText="1"/>
    </xf>
    <xf borderId="6" fillId="2" fontId="2" numFmtId="0" xfId="0" applyAlignment="1" applyBorder="1" applyFill="1" applyFont="1">
      <alignment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2" fontId="5" numFmtId="0" xfId="0" applyAlignment="1" applyBorder="1" applyFill="1" applyFont="1">
      <alignment shrinkToFit="0" wrapText="1"/>
    </xf>
    <xf borderId="9" fillId="2" fontId="5" numFmtId="164" xfId="0" applyAlignment="1" applyBorder="1" applyFill="1" applyFont="1" applyNumberFormat="1">
      <alignment shrinkToFit="0" wrapText="1"/>
    </xf>
    <xf borderId="10" fillId="2" fontId="2" numFmtId="0" xfId="0" applyAlignment="1" applyBorder="1" applyFill="1" applyFont="1">
      <alignment shrinkToFit="0" vertical="center" wrapText="1"/>
    </xf>
    <xf borderId="11" fillId="2" fontId="2" numFmtId="0" xfId="0" applyAlignment="1" applyBorder="1" applyFill="1" applyFont="1">
      <alignment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6" numFmtId="0" xfId="0" applyAlignment="1" applyBorder="1" applyFill="1" applyFont="1">
      <alignment horizontal="center" shrinkToFit="0" vertical="center" wrapText="1"/>
    </xf>
    <xf borderId="15" fillId="3" fontId="6" numFmtId="0" xfId="0" applyAlignment="1" applyBorder="1" applyFill="1" applyFont="1">
      <alignment horizontal="center" shrinkToFit="0" vertical="center" wrapText="1"/>
    </xf>
    <xf borderId="16" fillId="3" fontId="6" numFmtId="0" xfId="0" applyAlignment="1" applyBorder="1" applyFill="1" applyFont="1">
      <alignment horizontal="center" shrinkToFit="0" vertical="center" wrapText="1"/>
    </xf>
    <xf borderId="17" fillId="3" fontId="6" numFmtId="0" xfId="0" applyAlignment="1" applyBorder="1" applyFill="1" applyFont="1">
      <alignment horizontal="center" shrinkToFit="0" vertical="center" wrapText="1"/>
    </xf>
    <xf borderId="18" fillId="4" fontId="7" numFmtId="165" xfId="0" applyAlignment="1" applyBorder="1" applyFill="1" applyFont="1" applyNumberFormat="1">
      <alignment horizontal="center" vertical="center"/>
    </xf>
    <xf borderId="18" fillId="4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10" fillId="5" fontId="2" numFmtId="0" xfId="0" applyAlignment="1" applyBorder="1" applyFill="1" applyFont="1">
      <alignment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19" fillId="0" fontId="1" numFmtId="166" xfId="0" applyAlignment="1" applyBorder="1" applyFont="1" applyNumberFormat="1">
      <alignment horizontal="center" shrinkToFit="0" vertical="center" wrapText="1"/>
    </xf>
    <xf borderId="19" fillId="0" fontId="1" numFmtId="0" xfId="0" applyAlignment="1" applyBorder="1" applyFont="1">
      <alignment horizontal="center" shrinkToFit="0" wrapText="1"/>
    </xf>
    <xf borderId="19" fillId="2" fontId="1" numFmtId="166" xfId="0" applyAlignment="1" applyBorder="1" applyFill="1" applyFont="1" applyNumberFormat="1">
      <alignment horizontal="center" shrinkToFit="0" wrapText="1"/>
    </xf>
    <xf borderId="20" fillId="2" fontId="1" numFmtId="166" xfId="0" applyAlignment="1" applyBorder="1" applyFill="1" applyFont="1" applyNumberFormat="1">
      <alignment horizontal="center" shrinkToFit="0" wrapText="1"/>
    </xf>
    <xf borderId="18" fillId="2" fontId="10" numFmtId="165" xfId="0" applyBorder="1" applyFill="1" applyFont="1" applyNumberFormat="1"/>
    <xf borderId="18" fillId="0" fontId="8" numFmtId="166" xfId="0" applyBorder="1" applyFont="1" applyNumberFormat="1"/>
    <xf borderId="21" fillId="5" fontId="2" numFmtId="0" xfId="0" applyAlignment="1" applyBorder="1" applyFill="1" applyFont="1">
      <alignment shrinkToFit="0" vertical="center" wrapText="1"/>
    </xf>
    <xf borderId="19" fillId="5" fontId="9" numFmtId="0" xfId="0" applyAlignment="1" applyBorder="1" applyFill="1" applyFont="1">
      <alignment horizontal="center" shrinkToFit="0" vertical="center" wrapText="1"/>
    </xf>
    <xf borderId="19" fillId="5" fontId="1" numFmtId="166" xfId="0" applyAlignment="1" applyBorder="1" applyFill="1" applyFont="1" applyNumberFormat="1">
      <alignment horizontal="center" shrinkToFit="0" vertical="center" wrapText="1"/>
    </xf>
    <xf borderId="19" fillId="5" fontId="1" numFmtId="0" xfId="0" applyAlignment="1" applyBorder="1" applyFill="1" applyFont="1">
      <alignment horizontal="center" shrinkToFit="0" wrapText="1"/>
    </xf>
    <xf borderId="18" fillId="2" fontId="8" numFmtId="165" xfId="0" applyBorder="1" applyFill="1" applyFont="1" applyNumberFormat="1"/>
    <xf borderId="19" fillId="5" fontId="2" numFmtId="0" xfId="0" applyAlignment="1" applyBorder="1" applyFill="1" applyFont="1">
      <alignment shrinkToFit="0" vertical="center" wrapText="1"/>
    </xf>
    <xf borderId="22" fillId="5" fontId="1" numFmtId="166" xfId="0" applyAlignment="1" applyBorder="1" applyFill="1" applyFont="1" applyNumberFormat="1">
      <alignment horizontal="center" shrinkToFit="0" vertical="center" wrapText="1"/>
    </xf>
    <xf borderId="22" fillId="5" fontId="1" numFmtId="0" xfId="0" applyAlignment="1" applyBorder="1" applyFill="1" applyFont="1">
      <alignment horizontal="center" shrinkToFit="0" wrapText="1"/>
    </xf>
    <xf borderId="22" fillId="2" fontId="1" numFmtId="166" xfId="0" applyAlignment="1" applyBorder="1" applyFill="1" applyFont="1" applyNumberFormat="1">
      <alignment horizontal="center" shrinkToFit="0" wrapText="1"/>
    </xf>
    <xf borderId="22" fillId="5" fontId="2" numFmtId="0" xfId="0" applyAlignment="1" applyBorder="1" applyFill="1" applyFont="1">
      <alignment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24" fillId="0" fontId="1" numFmtId="166" xfId="0" applyAlignment="1" applyBorder="1" applyFont="1" applyNumberFormat="1">
      <alignment horizontal="center" shrinkToFit="0" vertical="center" wrapText="1"/>
    </xf>
    <xf borderId="18" fillId="0" fontId="1" numFmtId="166" xfId="0" applyAlignment="1" applyBorder="1" applyFont="1" applyNumberFormat="1">
      <alignment horizontal="center" shrinkToFit="0" vertical="center" wrapText="1"/>
    </xf>
    <xf borderId="18" fillId="0" fontId="1" numFmtId="0" xfId="0" applyAlignment="1" applyBorder="1" applyFont="1">
      <alignment horizontal="center" shrinkToFit="0" wrapText="1"/>
    </xf>
    <xf borderId="18" fillId="2" fontId="1" numFmtId="166" xfId="0" applyAlignment="1" applyBorder="1" applyFill="1" applyFont="1" applyNumberFormat="1">
      <alignment horizontal="center" shrinkToFit="0" wrapText="1"/>
    </xf>
    <xf borderId="22" fillId="5" fontId="9" numFmtId="0" xfId="0" applyAlignment="1" applyBorder="1" applyFill="1" applyFont="1">
      <alignment horizontal="center" shrinkToFit="0" vertical="center" wrapText="1"/>
    </xf>
    <xf borderId="1" fillId="5" fontId="1" numFmtId="166" xfId="0" applyAlignment="1" applyBorder="1" applyFill="1" applyFont="1" applyNumberFormat="1">
      <alignment horizontal="center" shrinkToFit="0" vertical="center" wrapText="1"/>
    </xf>
    <xf borderId="15" fillId="5" fontId="1" numFmtId="166" xfId="0" applyAlignment="1" applyBorder="1" applyFill="1" applyFont="1" applyNumberFormat="1">
      <alignment horizontal="center" shrinkToFit="0" vertical="center" wrapText="1"/>
    </xf>
    <xf borderId="18" fillId="5" fontId="1" numFmtId="0" xfId="0" applyAlignment="1" applyBorder="1" applyFill="1" applyFont="1">
      <alignment horizontal="center" shrinkToFit="0" wrapText="1"/>
    </xf>
    <xf borderId="24" fillId="0" fontId="9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wrapText="1"/>
    </xf>
    <xf borderId="23" fillId="0" fontId="1" numFmtId="166" xfId="0" applyAlignment="1" applyBorder="1" applyFont="1" applyNumberFormat="1">
      <alignment horizontal="center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26" fillId="5" fontId="1" numFmtId="0" xfId="0" applyAlignment="1" applyBorder="1" applyFill="1" applyFont="1">
      <alignment horizontal="center" shrinkToFit="0" wrapText="1"/>
    </xf>
    <xf borderId="0" fillId="0" fontId="10" numFmtId="0" xfId="0" applyFont="1"/>
    <xf borderId="19" fillId="0" fontId="9" numFmtId="0" xfId="0" applyAlignment="1" applyBorder="1" applyFont="1">
      <alignment vertical="center"/>
    </xf>
    <xf borderId="27" fillId="0" fontId="11" numFmtId="0" xfId="0" applyAlignment="1" applyBorder="1" applyFont="1">
      <alignment horizontal="center" readingOrder="0" vertical="center"/>
    </xf>
    <xf borderId="28" fillId="0" fontId="3" numFmtId="0" xfId="0" applyBorder="1" applyFont="1"/>
    <xf borderId="0" fillId="0" fontId="8" numFmtId="0" xfId="0" applyFont="1"/>
    <xf borderId="29" fillId="6" fontId="12" numFmtId="166" xfId="0" applyAlignment="1" applyBorder="1" applyFill="1" applyFont="1" applyNumberFormat="1">
      <alignment horizontal="center" vertical="center"/>
    </xf>
    <xf borderId="27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shrinkToFit="0" vertical="center" wrapText="1"/>
    </xf>
    <xf borderId="0" fillId="0" fontId="10" numFmtId="166" xfId="0" applyFont="1" applyNumberFormat="1"/>
    <xf borderId="0" fillId="0" fontId="13" numFmtId="0" xfId="0" applyFont="1"/>
    <xf borderId="30" fillId="0" fontId="9" numFmtId="0" xfId="0" applyAlignment="1" applyBorder="1" applyFont="1">
      <alignment vertical="center"/>
    </xf>
    <xf borderId="30" fillId="0" fontId="9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vertical="center"/>
    </xf>
    <xf borderId="18" fillId="0" fontId="9" numFmtId="0" xfId="0" applyAlignment="1" applyBorder="1" applyFont="1">
      <alignment horizontal="center" shrinkToFit="0" vertical="center" wrapText="1"/>
    </xf>
    <xf borderId="31" fillId="0" fontId="11" numFmtId="0" xfId="0" applyAlignment="1" applyBorder="1" applyFont="1">
      <alignment horizontal="center" vertical="center"/>
    </xf>
    <xf borderId="25" fillId="0" fontId="3" numFmtId="0" xfId="0" applyBorder="1" applyFont="1"/>
    <xf borderId="27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 vertical="center"/>
    </xf>
    <xf borderId="32" fillId="0" fontId="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33" fillId="7" fontId="14" numFmtId="0" xfId="0" applyAlignment="1" applyBorder="1" applyFill="1" applyFont="1">
      <alignment horizontal="center" vertical="center"/>
    </xf>
    <xf borderId="34" fillId="0" fontId="3" numFmtId="0" xfId="0" applyBorder="1" applyFont="1"/>
    <xf borderId="33" fillId="8" fontId="14" numFmtId="166" xfId="0" applyAlignment="1" applyBorder="1" applyFill="1" applyFont="1" applyNumberFormat="1">
      <alignment horizontal="center" vertical="center"/>
    </xf>
    <xf borderId="5" fillId="2" fontId="8" numFmtId="0" xfId="0" applyAlignment="1" applyBorder="1" applyFill="1" applyFont="1">
      <alignment vertical="center"/>
    </xf>
    <xf borderId="9" fillId="2" fontId="8" numFmtId="0" xfId="0" applyAlignment="1" applyBorder="1" applyFill="1" applyFont="1">
      <alignment vertical="center"/>
    </xf>
    <xf borderId="35" fillId="2" fontId="8" numFmtId="0" xfId="0" applyAlignment="1" applyBorder="1" applyFill="1" applyFont="1">
      <alignment vertical="center"/>
    </xf>
    <xf borderId="36" fillId="2" fontId="8" numFmtId="0" xfId="0" applyAlignment="1" applyBorder="1" applyFill="1" applyFont="1">
      <alignment vertical="center"/>
    </xf>
    <xf borderId="37" fillId="2" fontId="8" numFmtId="0" xfId="0" applyAlignment="1" applyBorder="1" applyFill="1" applyFont="1">
      <alignment vertical="center"/>
    </xf>
    <xf borderId="38" fillId="2" fontId="8" numFmtId="0" xfId="0" applyAlignment="1" applyBorder="1" applyFill="1" applyFont="1">
      <alignment vertical="center"/>
    </xf>
    <xf borderId="18" fillId="4" fontId="15" numFmtId="0" xfId="0" applyAlignment="1" applyBorder="1" applyFill="1" applyFont="1">
      <alignment horizontal="center" vertical="center"/>
    </xf>
    <xf borderId="18" fillId="0" fontId="10" numFmtId="0" xfId="0" applyAlignment="1" applyBorder="1" applyFont="1">
      <alignment horizontal="center" vertical="center"/>
    </xf>
    <xf borderId="18" fillId="9" fontId="16" numFmtId="0" xfId="0" applyAlignment="1" applyBorder="1" applyFill="1" applyFont="1">
      <alignment horizontal="center" vertical="center"/>
    </xf>
    <xf borderId="18" fillId="9" fontId="1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152400</xdr:rowOff>
    </xdr:from>
    <xdr:ext cx="1409700" cy="504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600075</xdr:colOff>
      <xdr:row>0</xdr:row>
      <xdr:rowOff>0</xdr:rowOff>
    </xdr:from>
    <xdr:ext cx="1447800" cy="13906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104775</xdr:rowOff>
    </xdr:from>
    <xdr:ext cx="12582525" cy="149542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8.25"/>
    <col customWidth="1" min="2" max="2" width="102.63"/>
    <col customWidth="1" min="3" max="3" width="39.13"/>
    <col customWidth="1" min="4" max="4" width="35.63"/>
    <col customWidth="1" min="5" max="5" width="21.88"/>
    <col customWidth="1" min="6" max="6" width="18.88"/>
    <col customWidth="1" min="7" max="7" width="22.0"/>
    <col customWidth="1" min="8" max="8" width="14.25"/>
    <col customWidth="1" min="9" max="9" width="14.63"/>
    <col customWidth="1" min="10" max="23" width="8.63"/>
  </cols>
  <sheetData>
    <row r="1" ht="60.75" customHeight="1">
      <c r="A1" s="1"/>
      <c r="B1" s="2" t="s">
        <v>0</v>
      </c>
      <c r="C1" s="3"/>
      <c r="D1" s="4"/>
      <c r="E1" s="5"/>
      <c r="F1" s="5"/>
      <c r="G1" s="5"/>
    </row>
    <row r="2" ht="17.25" customHeight="1">
      <c r="A2" s="6" t="s">
        <v>1</v>
      </c>
      <c r="B2" s="7" t="s">
        <v>2</v>
      </c>
      <c r="C2" s="8"/>
      <c r="D2" s="9"/>
      <c r="E2" s="10"/>
      <c r="F2" s="11"/>
      <c r="G2" s="5"/>
    </row>
    <row r="3">
      <c r="A3" s="6" t="s">
        <v>3</v>
      </c>
      <c r="B3" s="7" t="s">
        <v>4</v>
      </c>
      <c r="C3" s="8"/>
      <c r="D3" s="9"/>
      <c r="E3" s="5"/>
      <c r="F3" s="5"/>
      <c r="G3" s="5"/>
    </row>
    <row r="4">
      <c r="A4" s="12" t="s">
        <v>5</v>
      </c>
      <c r="B4" s="13" t="s">
        <v>6</v>
      </c>
      <c r="C4" s="14"/>
      <c r="D4" s="15"/>
      <c r="E4" s="5"/>
      <c r="F4" s="5"/>
      <c r="G4" s="5"/>
    </row>
    <row r="5">
      <c r="A5" s="16" t="s">
        <v>7</v>
      </c>
      <c r="B5" s="17" t="s">
        <v>8</v>
      </c>
      <c r="C5" s="17" t="s">
        <v>9</v>
      </c>
      <c r="D5" s="18" t="s">
        <v>10</v>
      </c>
      <c r="E5" s="19" t="s">
        <v>11</v>
      </c>
      <c r="F5" s="17" t="s">
        <v>12</v>
      </c>
      <c r="G5" s="17" t="s">
        <v>13</v>
      </c>
      <c r="H5" s="20" t="s">
        <v>14</v>
      </c>
      <c r="I5" s="21" t="s">
        <v>15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3"/>
      <c r="Y5" s="23"/>
      <c r="Z5" s="23"/>
    </row>
    <row r="6">
      <c r="A6" s="24" t="s">
        <v>16</v>
      </c>
      <c r="B6" s="25">
        <v>1.0</v>
      </c>
      <c r="C6" s="26">
        <v>11000.0</v>
      </c>
      <c r="D6" s="26">
        <f t="shared" ref="D6:D17" si="1">C6*B6</f>
        <v>11000</v>
      </c>
      <c r="E6" s="27">
        <v>1.0</v>
      </c>
      <c r="F6" s="28">
        <v>9000.0</v>
      </c>
      <c r="G6" s="29">
        <f t="shared" ref="G6:G17" si="2">F6*E6</f>
        <v>9000</v>
      </c>
      <c r="H6" s="30"/>
      <c r="I6" s="31"/>
    </row>
    <row r="7">
      <c r="A7" s="24" t="s">
        <v>17</v>
      </c>
      <c r="B7" s="25">
        <v>120.0</v>
      </c>
      <c r="C7" s="26">
        <v>125.0</v>
      </c>
      <c r="D7" s="26">
        <f t="shared" si="1"/>
        <v>15000</v>
      </c>
      <c r="E7" s="27">
        <v>120.0</v>
      </c>
      <c r="F7" s="28">
        <v>105.0</v>
      </c>
      <c r="G7" s="29">
        <f t="shared" si="2"/>
        <v>12600</v>
      </c>
      <c r="H7" s="30"/>
      <c r="I7" s="31"/>
    </row>
    <row r="8">
      <c r="A8" s="32" t="s">
        <v>18</v>
      </c>
      <c r="B8" s="33">
        <v>120.0</v>
      </c>
      <c r="C8" s="34">
        <v>45.0</v>
      </c>
      <c r="D8" s="34">
        <f t="shared" si="1"/>
        <v>5400</v>
      </c>
      <c r="E8" s="35">
        <v>120.0</v>
      </c>
      <c r="F8" s="28">
        <v>38.0</v>
      </c>
      <c r="G8" s="29">
        <f t="shared" si="2"/>
        <v>4560</v>
      </c>
      <c r="H8" s="30"/>
      <c r="I8" s="31"/>
    </row>
    <row r="9">
      <c r="A9" s="32" t="s">
        <v>19</v>
      </c>
      <c r="B9" s="33">
        <v>1.0</v>
      </c>
      <c r="C9" s="34">
        <v>5000.0</v>
      </c>
      <c r="D9" s="34">
        <f t="shared" si="1"/>
        <v>5000</v>
      </c>
      <c r="E9" s="35">
        <v>1.0</v>
      </c>
      <c r="F9" s="28"/>
      <c r="G9" s="29">
        <f t="shared" si="2"/>
        <v>0</v>
      </c>
      <c r="H9" s="36"/>
      <c r="I9" s="31"/>
    </row>
    <row r="10">
      <c r="A10" s="32" t="s">
        <v>20</v>
      </c>
      <c r="B10" s="33">
        <v>1.0</v>
      </c>
      <c r="C10" s="34">
        <v>5000.0</v>
      </c>
      <c r="D10" s="34">
        <f t="shared" si="1"/>
        <v>5000</v>
      </c>
      <c r="E10" s="35">
        <v>1.0</v>
      </c>
      <c r="F10" s="28">
        <v>4558.0</v>
      </c>
      <c r="G10" s="29">
        <f t="shared" si="2"/>
        <v>4558</v>
      </c>
      <c r="H10" s="36"/>
      <c r="I10" s="31"/>
    </row>
    <row r="11" ht="15.0" customHeight="1">
      <c r="A11" s="37" t="s">
        <v>21</v>
      </c>
      <c r="B11" s="33">
        <v>6.0</v>
      </c>
      <c r="C11" s="34">
        <v>330.0</v>
      </c>
      <c r="D11" s="38">
        <f t="shared" si="1"/>
        <v>1980</v>
      </c>
      <c r="E11" s="39"/>
      <c r="F11" s="40"/>
      <c r="G11" s="29">
        <f t="shared" si="2"/>
        <v>0</v>
      </c>
      <c r="H11" s="36"/>
      <c r="I11" s="31"/>
    </row>
    <row r="12" ht="15.0" customHeight="1">
      <c r="A12" s="41" t="s">
        <v>22</v>
      </c>
      <c r="B12" s="42">
        <v>6.0</v>
      </c>
      <c r="C12" s="43">
        <v>2500.0</v>
      </c>
      <c r="D12" s="44">
        <f t="shared" si="1"/>
        <v>15000</v>
      </c>
      <c r="E12" s="45">
        <v>6.0</v>
      </c>
      <c r="F12" s="46">
        <v>2300.0</v>
      </c>
      <c r="G12" s="29">
        <f t="shared" si="2"/>
        <v>13800</v>
      </c>
      <c r="H12" s="30"/>
      <c r="I12" s="31"/>
    </row>
    <row r="13" ht="15.75" customHeight="1">
      <c r="A13" s="41" t="s">
        <v>23</v>
      </c>
      <c r="B13" s="47">
        <v>1.0</v>
      </c>
      <c r="C13" s="48">
        <v>650.0</v>
      </c>
      <c r="D13" s="49">
        <f t="shared" si="1"/>
        <v>650</v>
      </c>
      <c r="E13" s="50">
        <v>1.0</v>
      </c>
      <c r="F13" s="46">
        <v>560.0</v>
      </c>
      <c r="G13" s="29">
        <f t="shared" si="2"/>
        <v>560</v>
      </c>
      <c r="H13" s="36"/>
      <c r="I13" s="31"/>
    </row>
    <row r="14">
      <c r="A14" s="41" t="s">
        <v>24</v>
      </c>
      <c r="B14" s="51">
        <v>100.0</v>
      </c>
      <c r="C14" s="26">
        <v>400.0</v>
      </c>
      <c r="D14" s="26">
        <f t="shared" si="1"/>
        <v>40000</v>
      </c>
      <c r="E14" s="52">
        <v>100.0</v>
      </c>
      <c r="F14" s="46">
        <v>350.0</v>
      </c>
      <c r="G14" s="29">
        <f t="shared" si="2"/>
        <v>35000</v>
      </c>
      <c r="H14" s="36"/>
      <c r="I14" s="31"/>
    </row>
    <row r="15">
      <c r="A15" s="41" t="s">
        <v>25</v>
      </c>
      <c r="B15" s="51">
        <v>1000.0</v>
      </c>
      <c r="C15" s="53">
        <v>4.2</v>
      </c>
      <c r="D15" s="26">
        <f t="shared" si="1"/>
        <v>4200</v>
      </c>
      <c r="E15" s="52">
        <v>1000.0</v>
      </c>
      <c r="F15" s="46">
        <v>3.6</v>
      </c>
      <c r="G15" s="29">
        <f t="shared" si="2"/>
        <v>3600</v>
      </c>
      <c r="H15" s="36"/>
      <c r="I15" s="31"/>
    </row>
    <row r="16">
      <c r="A16" s="41" t="s">
        <v>26</v>
      </c>
      <c r="B16" s="51">
        <v>1000.0</v>
      </c>
      <c r="C16" s="53">
        <v>4.0</v>
      </c>
      <c r="D16" s="26">
        <f t="shared" si="1"/>
        <v>4000</v>
      </c>
      <c r="E16" s="52">
        <v>1000.0</v>
      </c>
      <c r="F16" s="46">
        <v>3.5</v>
      </c>
      <c r="G16" s="29">
        <f t="shared" si="2"/>
        <v>3500</v>
      </c>
      <c r="H16" s="36"/>
      <c r="I16" s="31"/>
    </row>
    <row r="17" ht="15.75" customHeight="1">
      <c r="A17" s="41" t="s">
        <v>27</v>
      </c>
      <c r="B17" s="54">
        <v>10.0</v>
      </c>
      <c r="C17" s="38">
        <v>1000.0</v>
      </c>
      <c r="D17" s="26">
        <f t="shared" si="1"/>
        <v>10000</v>
      </c>
      <c r="E17" s="55">
        <v>10.0</v>
      </c>
      <c r="F17" s="46">
        <v>800.0</v>
      </c>
      <c r="G17" s="29">
        <f t="shared" si="2"/>
        <v>8000</v>
      </c>
      <c r="H17" s="30"/>
      <c r="I17" s="31"/>
      <c r="J17" s="56"/>
    </row>
    <row r="18">
      <c r="A18" s="57" t="s">
        <v>28</v>
      </c>
      <c r="B18" s="25" t="s">
        <v>29</v>
      </c>
      <c r="C18" s="58" t="s">
        <v>30</v>
      </c>
      <c r="D18" s="59"/>
      <c r="E18" s="56"/>
      <c r="F18" s="60"/>
      <c r="G18" s="61">
        <f>SUM(G6:G17)</f>
        <v>95178</v>
      </c>
      <c r="H18" s="60"/>
    </row>
    <row r="19">
      <c r="A19" s="57" t="s">
        <v>31</v>
      </c>
      <c r="B19" s="25" t="s">
        <v>32</v>
      </c>
      <c r="C19" s="62" t="s">
        <v>33</v>
      </c>
      <c r="D19" s="59"/>
      <c r="E19" s="56"/>
      <c r="F19" s="60"/>
      <c r="G19" s="60"/>
    </row>
    <row r="20">
      <c r="A20" s="57" t="s">
        <v>34</v>
      </c>
      <c r="B20" s="25" t="s">
        <v>35</v>
      </c>
      <c r="C20" s="63" t="s">
        <v>36</v>
      </c>
      <c r="D20" s="59"/>
      <c r="E20" s="56"/>
    </row>
    <row r="21">
      <c r="A21" s="57" t="s">
        <v>37</v>
      </c>
      <c r="B21" s="25" t="s">
        <v>38</v>
      </c>
      <c r="C21" s="62" t="s">
        <v>39</v>
      </c>
      <c r="D21" s="59"/>
      <c r="E21" s="56"/>
      <c r="F21" s="56"/>
      <c r="G21" s="64">
        <f>C32-G18</f>
        <v>22052</v>
      </c>
      <c r="I21" s="56"/>
      <c r="J21" s="65"/>
    </row>
    <row r="22">
      <c r="A22" s="57" t="s">
        <v>40</v>
      </c>
      <c r="B22" s="25" t="s">
        <v>41</v>
      </c>
      <c r="C22" s="62" t="s">
        <v>42</v>
      </c>
      <c r="D22" s="59"/>
      <c r="E22" s="56"/>
      <c r="F22" s="56"/>
      <c r="G22" s="56"/>
    </row>
    <row r="23">
      <c r="A23" s="66" t="s">
        <v>43</v>
      </c>
      <c r="B23" s="67" t="s">
        <v>41</v>
      </c>
      <c r="C23" s="62" t="s">
        <v>42</v>
      </c>
      <c r="D23" s="59"/>
      <c r="E23" s="56"/>
      <c r="I23" s="56"/>
      <c r="J23" s="56"/>
      <c r="K23" s="56"/>
      <c r="L23" s="56"/>
      <c r="M23" s="56"/>
    </row>
    <row r="24">
      <c r="A24" s="68" t="s">
        <v>44</v>
      </c>
      <c r="B24" s="69" t="s">
        <v>41</v>
      </c>
      <c r="C24" s="62" t="s">
        <v>42</v>
      </c>
      <c r="D24" s="59"/>
      <c r="E24" s="56"/>
      <c r="I24" s="60"/>
      <c r="J24" s="56"/>
      <c r="K24" s="56"/>
      <c r="L24" s="56"/>
      <c r="M24" s="56"/>
    </row>
    <row r="25">
      <c r="A25" s="68" t="s">
        <v>45</v>
      </c>
      <c r="B25" s="69" t="s">
        <v>46</v>
      </c>
      <c r="C25" s="70" t="s">
        <v>47</v>
      </c>
      <c r="D25" s="71"/>
      <c r="E25" s="60"/>
      <c r="F25" s="56"/>
      <c r="G25" s="56"/>
      <c r="I25" s="60"/>
      <c r="J25" s="60"/>
      <c r="K25" s="60"/>
      <c r="L25" s="60"/>
      <c r="M25" s="60"/>
      <c r="N25" s="60"/>
    </row>
    <row r="26" ht="15.75" customHeight="1">
      <c r="A26" s="68" t="s">
        <v>48</v>
      </c>
      <c r="B26" s="69" t="s">
        <v>49</v>
      </c>
      <c r="C26" s="70" t="s">
        <v>50</v>
      </c>
      <c r="D26" s="71"/>
      <c r="E26" s="60"/>
      <c r="F26" s="56"/>
      <c r="G26" s="56"/>
      <c r="I26" s="60"/>
      <c r="J26" s="60"/>
      <c r="K26" s="60"/>
      <c r="L26" s="60"/>
      <c r="M26" s="60"/>
      <c r="N26" s="60"/>
    </row>
    <row r="27" ht="15.75" customHeight="1">
      <c r="A27" s="68" t="s">
        <v>51</v>
      </c>
      <c r="B27" s="69" t="s">
        <v>52</v>
      </c>
      <c r="C27" s="70" t="s">
        <v>53</v>
      </c>
      <c r="D27" s="71"/>
      <c r="E27" s="60"/>
      <c r="F27" s="56"/>
      <c r="G27" s="56"/>
      <c r="M27" s="60"/>
      <c r="N27" s="60"/>
    </row>
    <row r="28" ht="15.75" customHeight="1">
      <c r="A28" s="68" t="s">
        <v>54</v>
      </c>
      <c r="B28" s="69" t="s">
        <v>55</v>
      </c>
      <c r="C28" s="70" t="s">
        <v>56</v>
      </c>
      <c r="D28" s="71"/>
      <c r="E28" s="60"/>
      <c r="I28" s="60"/>
      <c r="J28" s="60"/>
      <c r="K28" s="60"/>
      <c r="L28" s="60"/>
      <c r="M28" s="60"/>
    </row>
    <row r="29" ht="15.75" customHeight="1">
      <c r="A29" s="68" t="s">
        <v>57</v>
      </c>
      <c r="B29" s="69" t="s">
        <v>58</v>
      </c>
      <c r="C29" s="70" t="s">
        <v>59</v>
      </c>
      <c r="D29" s="71"/>
      <c r="E29" s="60"/>
    </row>
    <row r="30">
      <c r="A30" s="68" t="s">
        <v>60</v>
      </c>
      <c r="B30" s="72" t="s">
        <v>61</v>
      </c>
      <c r="C30" s="70" t="s">
        <v>62</v>
      </c>
      <c r="D30" s="71"/>
      <c r="E30" s="60"/>
    </row>
    <row r="31">
      <c r="A31" s="73" t="s">
        <v>63</v>
      </c>
      <c r="B31" s="74"/>
      <c r="C31" s="75"/>
      <c r="D31" s="75"/>
      <c r="E31" s="60"/>
    </row>
    <row r="32">
      <c r="A32" s="76" t="s">
        <v>64</v>
      </c>
      <c r="B32" s="77"/>
      <c r="C32" s="78">
        <f>SUM(D6:D17)</f>
        <v>117230</v>
      </c>
      <c r="D32" s="77"/>
      <c r="E32" s="60"/>
    </row>
    <row r="33" ht="15.75" customHeight="1">
      <c r="A33" s="79"/>
      <c r="B33" s="80"/>
      <c r="C33" s="80"/>
      <c r="D33" s="81"/>
      <c r="E33" s="60"/>
    </row>
    <row r="34" ht="15.75" customHeight="1">
      <c r="A34" s="79"/>
      <c r="B34" s="80"/>
      <c r="C34" s="80"/>
      <c r="D34" s="81"/>
      <c r="E34" s="60"/>
    </row>
    <row r="35" ht="15.75" customHeight="1">
      <c r="A35" s="79"/>
      <c r="B35" s="80"/>
      <c r="C35" s="80"/>
      <c r="D35" s="81"/>
      <c r="E35" s="60"/>
    </row>
    <row r="36" ht="15.75" customHeight="1">
      <c r="A36" s="79"/>
      <c r="B36" s="80"/>
      <c r="C36" s="80"/>
      <c r="D36" s="81"/>
      <c r="E36" s="60"/>
    </row>
    <row r="37">
      <c r="A37" s="79"/>
      <c r="B37" s="80"/>
      <c r="C37" s="80"/>
      <c r="D37" s="81"/>
      <c r="E37" s="60"/>
    </row>
    <row r="38" ht="15.75" customHeight="1">
      <c r="A38" s="79"/>
      <c r="B38" s="80"/>
      <c r="C38" s="80"/>
      <c r="D38" s="81"/>
      <c r="E38" s="60"/>
    </row>
    <row r="39" ht="15.75" customHeight="1">
      <c r="A39" s="79"/>
      <c r="B39" s="80"/>
      <c r="C39" s="80"/>
      <c r="D39" s="81"/>
      <c r="E39" s="60"/>
    </row>
    <row r="40" ht="15.75" customHeight="1">
      <c r="A40" s="82"/>
      <c r="B40" s="83"/>
      <c r="C40" s="83"/>
      <c r="D40" s="84"/>
      <c r="E40" s="60"/>
    </row>
    <row r="41" ht="15.75" customHeight="1">
      <c r="A41" s="60"/>
      <c r="B41" s="60"/>
      <c r="C41" s="60"/>
      <c r="D41" s="60"/>
    </row>
    <row r="42" ht="15.75" customHeight="1">
      <c r="A42" s="85" t="s">
        <v>65</v>
      </c>
      <c r="B42" s="85" t="s">
        <v>64</v>
      </c>
    </row>
    <row r="43" ht="15.75" customHeight="1">
      <c r="A43" s="86" t="s">
        <v>66</v>
      </c>
      <c r="B43" s="86">
        <v>14.0</v>
      </c>
    </row>
    <row r="44" ht="15.75" customHeight="1">
      <c r="A44" s="86" t="s">
        <v>67</v>
      </c>
      <c r="B44" s="86">
        <f>14+6+10+6+8+8+8+6+4+2+4+4+24</f>
        <v>104</v>
      </c>
    </row>
    <row r="45" ht="15.75" customHeight="1">
      <c r="A45" s="86" t="s">
        <v>68</v>
      </c>
      <c r="B45" s="86">
        <f>10+4+8+8+8+8+6+4+2+8+24</f>
        <v>90</v>
      </c>
    </row>
    <row r="46" ht="15.75" customHeight="1">
      <c r="A46" s="86" t="s">
        <v>69</v>
      </c>
      <c r="B46" s="86">
        <f>4+6+6+6+4+4+36</f>
        <v>66</v>
      </c>
    </row>
    <row r="47" ht="15.75" customHeight="1">
      <c r="A47" s="87" t="s">
        <v>64</v>
      </c>
      <c r="B47" s="88">
        <f>SUM(B43:B46)</f>
        <v>274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mergeCells count="20">
    <mergeCell ref="B1:C1"/>
    <mergeCell ref="D1:D4"/>
    <mergeCell ref="B2:C2"/>
    <mergeCell ref="B3:C3"/>
    <mergeCell ref="B4:C4"/>
    <mergeCell ref="C18:D18"/>
    <mergeCell ref="C19:D19"/>
    <mergeCell ref="C27:D27"/>
    <mergeCell ref="C28:D28"/>
    <mergeCell ref="C29:D29"/>
    <mergeCell ref="C30:D30"/>
    <mergeCell ref="A32:B32"/>
    <mergeCell ref="C32:D32"/>
    <mergeCell ref="C20:D20"/>
    <mergeCell ref="C21:D21"/>
    <mergeCell ref="C22:D22"/>
    <mergeCell ref="C23:D23"/>
    <mergeCell ref="C24:D24"/>
    <mergeCell ref="C25:D25"/>
    <mergeCell ref="C26:D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2025-12-08T20:04:12Z</dcterms:created>
  <dc:creator>Ingenieria Operaciones</dc:creator>
</cp:coreProperties>
</file>