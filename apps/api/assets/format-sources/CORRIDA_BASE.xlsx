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corridas financieras\"/>
    </mc:Choice>
  </mc:AlternateContent>
  <xr:revisionPtr revIDLastSave="0" documentId="13_ncr:1_{5318BFCD-7F97-45DA-8602-C13F13E0DD24}" xr6:coauthVersionLast="47" xr6:coauthVersionMax="47" xr10:uidLastSave="{00000000-0000-0000-0000-000000000000}"/>
  <bookViews>
    <workbookView xWindow="-108" yWindow="-108" windowWidth="41496" windowHeight="16776" tabRatio="716" xr2:uid="{00000000-000D-0000-FFFF-FFFF00000000}"/>
  </bookViews>
  <sheets>
    <sheet name="NAHUALA TETARO CEDRU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LZTXaC7usE6rt6A+4RIqVvkWtcUo+Rkx+f6rRIIdADI="/>
    </ext>
  </extLst>
</workbook>
</file>

<file path=xl/calcChain.xml><?xml version="1.0" encoding="utf-8"?>
<calcChain xmlns="http://schemas.openxmlformats.org/spreadsheetml/2006/main">
  <c r="L33" i="3" l="1"/>
  <c r="K33" i="3"/>
  <c r="J33" i="3"/>
  <c r="I33" i="3"/>
  <c r="H33" i="3"/>
  <c r="G33" i="3"/>
  <c r="F33" i="3"/>
  <c r="E33" i="3"/>
  <c r="D33" i="3"/>
  <c r="B14" i="3"/>
  <c r="D14" i="3" s="1"/>
  <c r="D12" i="3"/>
  <c r="E12" i="3" s="1"/>
  <c r="D11" i="3"/>
  <c r="F11" i="3" s="1"/>
  <c r="D10" i="3"/>
  <c r="G10" i="3" s="1"/>
  <c r="D9" i="3"/>
  <c r="H9" i="3" s="1"/>
  <c r="H8" i="3"/>
  <c r="D8" i="3"/>
  <c r="I8" i="3" s="1"/>
  <c r="D7" i="3"/>
  <c r="J7" i="3" s="1"/>
  <c r="D6" i="3"/>
  <c r="K6" i="3" s="1"/>
  <c r="D5" i="3"/>
  <c r="D13" i="3" l="1"/>
  <c r="D34" i="3" s="1"/>
  <c r="E9" i="3"/>
  <c r="F8" i="3"/>
  <c r="E10" i="3"/>
  <c r="G8" i="3"/>
  <c r="F10" i="3"/>
  <c r="E11" i="3"/>
  <c r="F9" i="3"/>
  <c r="G9" i="3"/>
  <c r="E7" i="3"/>
  <c r="F7" i="3"/>
  <c r="G7" i="3"/>
  <c r="H7" i="3"/>
  <c r="I7" i="3"/>
  <c r="J5" i="3"/>
  <c r="E5" i="3"/>
  <c r="F5" i="3"/>
  <c r="K5" i="3"/>
  <c r="G5" i="3"/>
  <c r="H5" i="3"/>
  <c r="I5" i="3"/>
  <c r="H13" i="3"/>
  <c r="J14" i="3"/>
  <c r="I14" i="3"/>
  <c r="H14" i="3"/>
  <c r="G14" i="3"/>
  <c r="F14" i="3"/>
  <c r="E14" i="3"/>
  <c r="L14" i="3"/>
  <c r="K14" i="3"/>
  <c r="L6" i="3"/>
  <c r="K7" i="3"/>
  <c r="J8" i="3"/>
  <c r="I9" i="3"/>
  <c r="H10" i="3"/>
  <c r="G11" i="3"/>
  <c r="F12" i="3"/>
  <c r="E6" i="3"/>
  <c r="L7" i="3"/>
  <c r="K8" i="3"/>
  <c r="J9" i="3"/>
  <c r="I10" i="3"/>
  <c r="H11" i="3"/>
  <c r="G12" i="3"/>
  <c r="F6" i="3"/>
  <c r="L8" i="3"/>
  <c r="K9" i="3"/>
  <c r="J10" i="3"/>
  <c r="I11" i="3"/>
  <c r="H12" i="3"/>
  <c r="G6" i="3"/>
  <c r="E8" i="3"/>
  <c r="L9" i="3"/>
  <c r="K10" i="3"/>
  <c r="J11" i="3"/>
  <c r="I12" i="3"/>
  <c r="H6" i="3"/>
  <c r="L10" i="3"/>
  <c r="K11" i="3"/>
  <c r="J12" i="3"/>
  <c r="I6" i="3"/>
  <c r="L11" i="3"/>
  <c r="K12" i="3"/>
  <c r="L12" i="3"/>
  <c r="J6" i="3"/>
  <c r="L5" i="3"/>
  <c r="E13" i="3" l="1"/>
  <c r="D16" i="3"/>
  <c r="D17" i="3"/>
  <c r="G13" i="3"/>
  <c r="G17" i="3" s="1"/>
  <c r="K13" i="3"/>
  <c r="K16" i="3" s="1"/>
  <c r="J13" i="3"/>
  <c r="J34" i="3" s="1"/>
  <c r="I13" i="3"/>
  <c r="I16" i="3" s="1"/>
  <c r="F13" i="3"/>
  <c r="F34" i="3" s="1"/>
  <c r="E34" i="3"/>
  <c r="E17" i="3"/>
  <c r="E16" i="3"/>
  <c r="H17" i="3"/>
  <c r="H16" i="3"/>
  <c r="H34" i="3"/>
  <c r="L13" i="3"/>
  <c r="D18" i="3" l="1"/>
  <c r="D35" i="3" s="1"/>
  <c r="K34" i="3"/>
  <c r="G34" i="3"/>
  <c r="K17" i="3"/>
  <c r="K18" i="3" s="1"/>
  <c r="K35" i="3" s="1"/>
  <c r="G16" i="3"/>
  <c r="G18" i="3" s="1"/>
  <c r="G35" i="3" s="1"/>
  <c r="F16" i="3"/>
  <c r="F17" i="3"/>
  <c r="I17" i="3"/>
  <c r="I18" i="3" s="1"/>
  <c r="I34" i="3"/>
  <c r="J16" i="3"/>
  <c r="J17" i="3"/>
  <c r="E18" i="3"/>
  <c r="E35" i="3" s="1"/>
  <c r="H18" i="3"/>
  <c r="H35" i="3" s="1"/>
  <c r="L34" i="3"/>
  <c r="L17" i="3"/>
  <c r="L16" i="3"/>
  <c r="L18" i="3" l="1"/>
  <c r="L35" i="3" s="1"/>
  <c r="I35" i="3"/>
  <c r="J18" i="3"/>
  <c r="J35" i="3" s="1"/>
  <c r="F18" i="3"/>
  <c r="F35" i="3" s="1"/>
</calcChain>
</file>

<file path=xl/sharedStrings.xml><?xml version="1.0" encoding="utf-8"?>
<sst xmlns="http://schemas.openxmlformats.org/spreadsheetml/2006/main" count="27" uniqueCount="27">
  <si>
    <t>FUNCIONES</t>
  </si>
  <si>
    <t>INGRESOS</t>
  </si>
  <si>
    <t>AFORO</t>
  </si>
  <si>
    <t>PRECIO</t>
  </si>
  <si>
    <t>CAPACIDAD</t>
  </si>
  <si>
    <t>EGRESOS</t>
  </si>
  <si>
    <t>SACM 2%</t>
  </si>
  <si>
    <t>TOTAL G. VARIABLES</t>
  </si>
  <si>
    <t>CATERING</t>
  </si>
  <si>
    <t>VENUE</t>
  </si>
  <si>
    <t>TRANSPORTACION</t>
  </si>
  <si>
    <t>VIATICOS</t>
  </si>
  <si>
    <t>PERMISOS</t>
  </si>
  <si>
    <t>PUBLICIDAD</t>
  </si>
  <si>
    <t>TOTAL G. FIJOS</t>
  </si>
  <si>
    <t>TL INGRESOS TOTALES</t>
  </si>
  <si>
    <t>RESULTADO, UTILIDAD O PERDIDA</t>
  </si>
  <si>
    <t>PLANTA DE LUZ</t>
  </si>
  <si>
    <t>IMPUESTO MUNICIPAL 8%</t>
  </si>
  <si>
    <t>PRODUCCION</t>
  </si>
  <si>
    <t>Preferente</t>
  </si>
  <si>
    <t>Bronce</t>
  </si>
  <si>
    <t>VIATICOS , HOSPEDAJE Y TRANSPORTE ARTA</t>
  </si>
  <si>
    <t>VIP</t>
  </si>
  <si>
    <t>ACTORES</t>
  </si>
  <si>
    <t>PRODUCTORES</t>
  </si>
  <si>
    <t>AMBULANCIA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</si>
</sst>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</numFmts>
  <fonts count="2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Calibri"/>
      <family val="2"/>
    </font>
    <font>
      <b/>
      <i/>
      <sz val="14"/>
      <color rgb="FF000000"/>
      <name val="Arial"/>
      <family val="2"/>
    </font>
    <font>
      <b/>
      <sz val="12"/>
      <color theme="1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4"/>
      <color theme="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b/>
      <i/>
      <sz val="12"/>
      <color theme="0"/>
      <name val="Arial"/>
      <family val="2"/>
    </font>
    <font>
      <b/>
      <sz val="12"/>
      <color theme="0"/>
      <name val="Arial"/>
      <family val="2"/>
    </font>
    <font>
      <b/>
      <i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22" fillId="0" borderId="1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/>
    <xf numFmtId="0" fontId="4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7" fillId="2" borderId="7" xfId="0" applyFont="1" applyFill="1" applyBorder="1"/>
    <xf numFmtId="0" fontId="9" fillId="2" borderId="12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center"/>
    </xf>
    <xf numFmtId="9" fontId="10" fillId="2" borderId="13" xfId="0" applyNumberFormat="1" applyFont="1" applyFill="1" applyBorder="1"/>
    <xf numFmtId="9" fontId="10" fillId="2" borderId="14" xfId="0" applyNumberFormat="1" applyFont="1" applyFill="1" applyBorder="1"/>
    <xf numFmtId="0" fontId="11" fillId="2" borderId="7" xfId="0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 vertical="center"/>
    </xf>
    <xf numFmtId="164" fontId="11" fillId="2" borderId="7" xfId="0" applyNumberFormat="1" applyFont="1" applyFill="1" applyBorder="1"/>
    <xf numFmtId="164" fontId="11" fillId="2" borderId="11" xfId="0" applyNumberFormat="1" applyFont="1" applyFill="1" applyBorder="1"/>
    <xf numFmtId="164" fontId="9" fillId="2" borderId="7" xfId="0" applyNumberFormat="1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/>
    </xf>
    <xf numFmtId="0" fontId="13" fillId="2" borderId="7" xfId="0" applyFont="1" applyFill="1" applyBorder="1"/>
    <xf numFmtId="164" fontId="10" fillId="2" borderId="7" xfId="0" applyNumberFormat="1" applyFont="1" applyFill="1" applyBorder="1"/>
    <xf numFmtId="164" fontId="10" fillId="2" borderId="11" xfId="0" applyNumberFormat="1" applyFont="1" applyFill="1" applyBorder="1"/>
    <xf numFmtId="3" fontId="10" fillId="2" borderId="7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vertical="center"/>
    </xf>
    <xf numFmtId="165" fontId="10" fillId="2" borderId="7" xfId="0" applyNumberFormat="1" applyFont="1" applyFill="1" applyBorder="1"/>
    <xf numFmtId="165" fontId="10" fillId="2" borderId="11" xfId="0" applyNumberFormat="1" applyFont="1" applyFill="1" applyBorder="1"/>
    <xf numFmtId="0" fontId="10" fillId="2" borderId="6" xfId="0" applyFont="1" applyFill="1" applyBorder="1" applyAlignment="1">
      <alignment horizontal="left"/>
    </xf>
    <xf numFmtId="0" fontId="9" fillId="2" borderId="7" xfId="0" applyFont="1" applyFill="1" applyBorder="1"/>
    <xf numFmtId="0" fontId="13" fillId="2" borderId="6" xfId="0" applyFont="1" applyFill="1" applyBorder="1" applyAlignment="1">
      <alignment horizontal="left"/>
    </xf>
    <xf numFmtId="0" fontId="7" fillId="4" borderId="7" xfId="0" applyFont="1" applyFill="1" applyBorder="1"/>
    <xf numFmtId="0" fontId="13" fillId="4" borderId="7" xfId="0" applyFont="1" applyFill="1" applyBorder="1"/>
    <xf numFmtId="164" fontId="10" fillId="4" borderId="7" xfId="0" applyNumberFormat="1" applyFont="1" applyFill="1" applyBorder="1"/>
    <xf numFmtId="164" fontId="10" fillId="4" borderId="11" xfId="0" applyNumberFormat="1" applyFont="1" applyFill="1" applyBorder="1"/>
    <xf numFmtId="8" fontId="11" fillId="2" borderId="7" xfId="0" applyNumberFormat="1" applyFont="1" applyFill="1" applyBorder="1"/>
    <xf numFmtId="166" fontId="11" fillId="2" borderId="7" xfId="0" applyNumberFormat="1" applyFont="1" applyFill="1" applyBorder="1"/>
    <xf numFmtId="8" fontId="10" fillId="4" borderId="7" xfId="0" applyNumberFormat="1" applyFont="1" applyFill="1" applyBorder="1"/>
    <xf numFmtId="164" fontId="13" fillId="4" borderId="7" xfId="0" applyNumberFormat="1" applyFont="1" applyFill="1" applyBorder="1"/>
    <xf numFmtId="8" fontId="13" fillId="4" borderId="7" xfId="0" applyNumberFormat="1" applyFont="1" applyFill="1" applyBorder="1"/>
    <xf numFmtId="8" fontId="13" fillId="4" borderId="11" xfId="0" applyNumberFormat="1" applyFont="1" applyFill="1" applyBorder="1"/>
    <xf numFmtId="0" fontId="1" fillId="2" borderId="6" xfId="0" applyFont="1" applyFill="1" applyBorder="1" applyAlignment="1">
      <alignment horizontal="left"/>
    </xf>
    <xf numFmtId="0" fontId="14" fillId="3" borderId="7" xfId="0" applyFont="1" applyFill="1" applyBorder="1"/>
    <xf numFmtId="0" fontId="15" fillId="3" borderId="7" xfId="0" applyFont="1" applyFill="1" applyBorder="1"/>
    <xf numFmtId="164" fontId="15" fillId="3" borderId="7" xfId="0" applyNumberFormat="1" applyFont="1" applyFill="1" applyBorder="1"/>
    <xf numFmtId="164" fontId="15" fillId="3" borderId="11" xfId="0" applyNumberFormat="1" applyFont="1" applyFill="1" applyBorder="1"/>
    <xf numFmtId="0" fontId="1" fillId="2" borderId="15" xfId="0" applyFont="1" applyFill="1" applyBorder="1" applyAlignment="1">
      <alignment horizontal="left"/>
    </xf>
    <xf numFmtId="0" fontId="16" fillId="2" borderId="16" xfId="0" applyFont="1" applyFill="1" applyBorder="1"/>
    <xf numFmtId="0" fontId="5" fillId="2" borderId="16" xfId="0" applyFont="1" applyFill="1" applyBorder="1"/>
    <xf numFmtId="164" fontId="2" fillId="2" borderId="16" xfId="0" applyNumberFormat="1" applyFont="1" applyFill="1" applyBorder="1"/>
    <xf numFmtId="0" fontId="9" fillId="2" borderId="10" xfId="0" applyFont="1" applyFill="1" applyBorder="1"/>
    <xf numFmtId="8" fontId="11" fillId="2" borderId="10" xfId="0" applyNumberFormat="1" applyFont="1" applyFill="1" applyBorder="1"/>
    <xf numFmtId="164" fontId="19" fillId="2" borderId="16" xfId="0" applyNumberFormat="1" applyFont="1" applyFill="1" applyBorder="1"/>
    <xf numFmtId="0" fontId="20" fillId="2" borderId="6" xfId="0" applyFont="1" applyFill="1" applyBorder="1" applyAlignment="1">
      <alignment horizontal="left"/>
    </xf>
    <xf numFmtId="9" fontId="10" fillId="2" borderId="10" xfId="0" applyNumberFormat="1" applyFont="1" applyFill="1" applyBorder="1"/>
    <xf numFmtId="164" fontId="21" fillId="2" borderId="17" xfId="0" applyNumberFormat="1" applyFont="1" applyFill="1" applyBorder="1"/>
    <xf numFmtId="0" fontId="18" fillId="0" borderId="18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4" fillId="2" borderId="2" xfId="0" applyFont="1" applyFill="1" applyBorder="1" applyAlignment="1">
      <alignment horizontal="center"/>
    </xf>
    <xf numFmtId="0" fontId="3" fillId="0" borderId="4" xfId="0" applyFont="1" applyBorder="1"/>
    <xf numFmtId="0" fontId="5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</cellXfs>
  <cellStyles count="2">
    <cellStyle name="Euro" xfId="1" xr:uid="{52D5B884-2361-4EE4-821E-26801E1ED7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180975</xdr:rowOff>
    </xdr:from>
    <xdr:ext cx="3124200" cy="6286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828389E-CC88-44A8-9F23-9E07A668B504}"/>
            </a:ext>
          </a:extLst>
        </xdr:cNvPr>
        <xdr:cNvSpPr txBox="1"/>
      </xdr:nvSpPr>
      <xdr:spPr>
        <a:xfrm>
          <a:off x="47625" y="401955"/>
          <a:ext cx="3124200" cy="628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PROMOTOR:ARTA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FECHA: 8 NOV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HORARIO:</a:t>
          </a:r>
          <a:r>
            <a:rPr lang="en-US" sz="11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4:00 y 6:30 pm</a:t>
          </a:r>
          <a:endParaRPr sz="1400"/>
        </a:p>
      </xdr:txBody>
    </xdr:sp>
    <xdr:clientData fLocksWithSheet="0"/>
  </xdr:oneCellAnchor>
  <xdr:oneCellAnchor>
    <xdr:from>
      <xdr:col>1</xdr:col>
      <xdr:colOff>1504950</xdr:colOff>
      <xdr:row>1</xdr:row>
      <xdr:rowOff>161925</xdr:rowOff>
    </xdr:from>
    <xdr:ext cx="3886200" cy="6286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9FC2AA2-8BE5-4D3C-A579-CFF46E63C4BF}"/>
            </a:ext>
          </a:extLst>
        </xdr:cNvPr>
        <xdr:cNvSpPr txBox="1"/>
      </xdr:nvSpPr>
      <xdr:spPr>
        <a:xfrm>
          <a:off x="3310890" y="382905"/>
          <a:ext cx="3886200" cy="628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EVENTO:NAHUALA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VENUE: TEATRO CEDRUS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CIUDAD: Pachuca</a:t>
          </a:r>
          <a:endParaRPr sz="1400"/>
        </a:p>
      </xdr:txBody>
    </xdr:sp>
    <xdr:clientData fLocksWithSheet="0"/>
  </xdr:oneCellAnchor>
  <xdr:oneCellAnchor>
    <xdr:from>
      <xdr:col>4</xdr:col>
      <xdr:colOff>150594</xdr:colOff>
      <xdr:row>0</xdr:row>
      <xdr:rowOff>53121</xdr:rowOff>
    </xdr:from>
    <xdr:ext cx="2040156" cy="756503"/>
    <xdr:pic>
      <xdr:nvPicPr>
        <xdr:cNvPr id="4" name="image2.png">
          <a:extLst>
            <a:ext uri="{FF2B5EF4-FFF2-40B4-BE49-F238E27FC236}">
              <a16:creationId xmlns:a16="http://schemas.microsoft.com/office/drawing/2014/main" id="{5E8C72E6-8B35-465C-AAE1-64872B4FAA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34274" y="53121"/>
          <a:ext cx="2040156" cy="75650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BAD9-6C8C-4FE0-BE28-2807B673EC5B}">
  <dimension ref="A1:L35"/>
  <sheetViews>
    <sheetView tabSelected="1" workbookViewId="0">
      <selection activeCell="P12" sqref="P12"/>
    </sheetView>
  </sheetViews>
  <sheetFormatPr baseColWidth="10" defaultRowHeight="15.6" x14ac:dyDescent="0.3"/>
  <cols>
    <col min="1" max="1" width="38.796875" bestFit="1" customWidth="1"/>
    <col min="2" max="2" width="37" bestFit="1" customWidth="1"/>
    <col min="3" max="3" width="11.3984375" customWidth="1"/>
    <col min="4" max="12" width="13.3984375" bestFit="1" customWidth="1"/>
  </cols>
  <sheetData>
    <row r="1" spans="1:12" ht="30.6" customHeight="1" x14ac:dyDescent="0.3">
      <c r="A1" s="1"/>
      <c r="B1" s="56"/>
      <c r="C1" s="57"/>
      <c r="D1" s="58"/>
      <c r="E1" s="59"/>
      <c r="F1" s="59"/>
      <c r="G1" s="57"/>
      <c r="H1" s="2"/>
      <c r="I1" s="60"/>
      <c r="J1" s="60"/>
      <c r="K1" s="60"/>
      <c r="L1" s="60"/>
    </row>
    <row r="2" spans="1:12" ht="66.599999999999994" customHeight="1" x14ac:dyDescent="0.3">
      <c r="A2" s="3"/>
      <c r="B2" s="4"/>
      <c r="C2" s="4"/>
      <c r="D2" s="61"/>
      <c r="E2" s="62"/>
      <c r="F2" s="63"/>
      <c r="G2" s="5">
        <v>2</v>
      </c>
      <c r="H2" s="5" t="s">
        <v>0</v>
      </c>
      <c r="I2" s="60"/>
      <c r="J2" s="60"/>
      <c r="K2" s="60"/>
      <c r="L2" s="60"/>
    </row>
    <row r="3" spans="1:12" ht="17.399999999999999" x14ac:dyDescent="0.3">
      <c r="A3" s="54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x14ac:dyDescent="0.3">
      <c r="A4" s="6"/>
      <c r="B4" s="7" t="s">
        <v>2</v>
      </c>
      <c r="C4" s="7" t="s">
        <v>3</v>
      </c>
      <c r="D4" s="8">
        <v>1</v>
      </c>
      <c r="E4" s="8">
        <v>0.9</v>
      </c>
      <c r="F4" s="8">
        <v>0.8</v>
      </c>
      <c r="G4" s="8">
        <v>0.7</v>
      </c>
      <c r="H4" s="8">
        <v>0.6</v>
      </c>
      <c r="I4" s="8">
        <v>0.5</v>
      </c>
      <c r="J4" s="9">
        <v>0.4</v>
      </c>
      <c r="K4" s="50">
        <v>0.3</v>
      </c>
      <c r="L4" s="50">
        <v>0.2</v>
      </c>
    </row>
    <row r="5" spans="1:12" x14ac:dyDescent="0.3">
      <c r="A5" s="53" t="s">
        <v>23</v>
      </c>
      <c r="B5" s="10">
        <v>387</v>
      </c>
      <c r="C5" s="11">
        <v>700</v>
      </c>
      <c r="D5" s="12">
        <f>B5*C5*G2</f>
        <v>541800</v>
      </c>
      <c r="E5" s="12">
        <f t="shared" ref="E5:E12" si="0">D5*0.9</f>
        <v>487620</v>
      </c>
      <c r="F5" s="12">
        <f t="shared" ref="F5:F12" si="1">D5*0.8</f>
        <v>433440</v>
      </c>
      <c r="G5" s="12">
        <f t="shared" ref="G5:G12" si="2">D5*0.7</f>
        <v>379260</v>
      </c>
      <c r="H5" s="12">
        <f t="shared" ref="H5:H12" si="3">D5*0.6</f>
        <v>325080</v>
      </c>
      <c r="I5" s="12">
        <f t="shared" ref="I5:I12" si="4">D5*0.5</f>
        <v>270900</v>
      </c>
      <c r="J5" s="13">
        <f t="shared" ref="J5:J12" si="5">D5*0.4</f>
        <v>216720</v>
      </c>
      <c r="K5" s="13">
        <f>D5*0.3</f>
        <v>162540</v>
      </c>
      <c r="L5" s="13">
        <f>D5*0.2</f>
        <v>108360</v>
      </c>
    </row>
    <row r="6" spans="1:12" x14ac:dyDescent="0.3">
      <c r="A6" s="53" t="s">
        <v>20</v>
      </c>
      <c r="B6" s="10">
        <v>90</v>
      </c>
      <c r="C6" s="11">
        <v>500</v>
      </c>
      <c r="D6" s="12">
        <f>B6*C6*G2</f>
        <v>90000</v>
      </c>
      <c r="E6" s="12">
        <f t="shared" si="0"/>
        <v>81000</v>
      </c>
      <c r="F6" s="12">
        <f t="shared" si="1"/>
        <v>72000</v>
      </c>
      <c r="G6" s="12">
        <f t="shared" si="2"/>
        <v>62999.999999999993</v>
      </c>
      <c r="H6" s="12">
        <f t="shared" si="3"/>
        <v>54000</v>
      </c>
      <c r="I6" s="12">
        <f t="shared" si="4"/>
        <v>45000</v>
      </c>
      <c r="J6" s="13">
        <f t="shared" si="5"/>
        <v>36000</v>
      </c>
      <c r="K6" s="13">
        <f t="shared" ref="K6:K12" si="6">D6*0.3</f>
        <v>27000</v>
      </c>
      <c r="L6" s="13">
        <f t="shared" ref="L6:L12" si="7">D6*0.2</f>
        <v>18000</v>
      </c>
    </row>
    <row r="7" spans="1:12" x14ac:dyDescent="0.3">
      <c r="A7" s="53" t="s">
        <v>21</v>
      </c>
      <c r="B7" s="10">
        <v>148</v>
      </c>
      <c r="C7" s="14">
        <v>300</v>
      </c>
      <c r="D7" s="12">
        <f>B7*C7*G2</f>
        <v>88800</v>
      </c>
      <c r="E7" s="12">
        <f t="shared" si="0"/>
        <v>79920</v>
      </c>
      <c r="F7" s="12">
        <f t="shared" si="1"/>
        <v>71040</v>
      </c>
      <c r="G7" s="12">
        <f t="shared" si="2"/>
        <v>62159.999999999993</v>
      </c>
      <c r="H7" s="12">
        <f t="shared" si="3"/>
        <v>53280</v>
      </c>
      <c r="I7" s="12">
        <f t="shared" si="4"/>
        <v>44400</v>
      </c>
      <c r="J7" s="13">
        <f t="shared" si="5"/>
        <v>35520</v>
      </c>
      <c r="K7" s="13">
        <f t="shared" si="6"/>
        <v>26640</v>
      </c>
      <c r="L7" s="13">
        <f t="shared" si="7"/>
        <v>17760</v>
      </c>
    </row>
    <row r="8" spans="1:12" x14ac:dyDescent="0.3">
      <c r="A8" s="52"/>
      <c r="B8" s="10"/>
      <c r="C8" s="14"/>
      <c r="D8" s="12">
        <f t="shared" ref="D8:D9" si="8">B8*C8</f>
        <v>0</v>
      </c>
      <c r="E8" s="12">
        <f t="shared" si="0"/>
        <v>0</v>
      </c>
      <c r="F8" s="12">
        <f t="shared" si="1"/>
        <v>0</v>
      </c>
      <c r="G8" s="12">
        <f t="shared" si="2"/>
        <v>0</v>
      </c>
      <c r="H8" s="12">
        <f t="shared" si="3"/>
        <v>0</v>
      </c>
      <c r="I8" s="12">
        <f t="shared" si="4"/>
        <v>0</v>
      </c>
      <c r="J8" s="13">
        <f t="shared" si="5"/>
        <v>0</v>
      </c>
      <c r="K8" s="13">
        <f t="shared" si="6"/>
        <v>0</v>
      </c>
      <c r="L8" s="13">
        <f t="shared" si="7"/>
        <v>0</v>
      </c>
    </row>
    <row r="9" spans="1:12" x14ac:dyDescent="0.3">
      <c r="A9" s="15"/>
      <c r="B9" s="10"/>
      <c r="C9" s="14"/>
      <c r="D9" s="12">
        <f t="shared" si="8"/>
        <v>0</v>
      </c>
      <c r="E9" s="12">
        <f t="shared" si="0"/>
        <v>0</v>
      </c>
      <c r="F9" s="12">
        <f t="shared" si="1"/>
        <v>0</v>
      </c>
      <c r="G9" s="12">
        <f t="shared" si="2"/>
        <v>0</v>
      </c>
      <c r="H9" s="12">
        <f t="shared" si="3"/>
        <v>0</v>
      </c>
      <c r="I9" s="12">
        <f t="shared" si="4"/>
        <v>0</v>
      </c>
      <c r="J9" s="13">
        <f t="shared" si="5"/>
        <v>0</v>
      </c>
      <c r="K9" s="13">
        <f t="shared" si="6"/>
        <v>0</v>
      </c>
      <c r="L9" s="13">
        <f t="shared" si="7"/>
        <v>0</v>
      </c>
    </row>
    <row r="10" spans="1:12" x14ac:dyDescent="0.3">
      <c r="A10" s="15"/>
      <c r="B10" s="10"/>
      <c r="C10" s="14"/>
      <c r="D10" s="12">
        <f>B10*C10*G2</f>
        <v>0</v>
      </c>
      <c r="E10" s="12">
        <f t="shared" si="0"/>
        <v>0</v>
      </c>
      <c r="F10" s="12">
        <f t="shared" si="1"/>
        <v>0</v>
      </c>
      <c r="G10" s="12">
        <f t="shared" si="2"/>
        <v>0</v>
      </c>
      <c r="H10" s="12">
        <f t="shared" si="3"/>
        <v>0</v>
      </c>
      <c r="I10" s="12">
        <f t="shared" si="4"/>
        <v>0</v>
      </c>
      <c r="J10" s="13">
        <f t="shared" si="5"/>
        <v>0</v>
      </c>
      <c r="K10" s="13">
        <f t="shared" si="6"/>
        <v>0</v>
      </c>
      <c r="L10" s="13">
        <f t="shared" si="7"/>
        <v>0</v>
      </c>
    </row>
    <row r="11" spans="1:12" x14ac:dyDescent="0.3">
      <c r="A11" s="15"/>
      <c r="B11" s="10"/>
      <c r="C11" s="14"/>
      <c r="D11" s="12">
        <f>B11*C11</f>
        <v>0</v>
      </c>
      <c r="E11" s="12">
        <f t="shared" si="0"/>
        <v>0</v>
      </c>
      <c r="F11" s="12">
        <f t="shared" si="1"/>
        <v>0</v>
      </c>
      <c r="G11" s="12">
        <f t="shared" si="2"/>
        <v>0</v>
      </c>
      <c r="H11" s="12">
        <f t="shared" si="3"/>
        <v>0</v>
      </c>
      <c r="I11" s="12">
        <f t="shared" si="4"/>
        <v>0</v>
      </c>
      <c r="J11" s="13">
        <f t="shared" si="5"/>
        <v>0</v>
      </c>
      <c r="K11" s="13">
        <f t="shared" si="6"/>
        <v>0</v>
      </c>
      <c r="L11" s="13">
        <f t="shared" si="7"/>
        <v>0</v>
      </c>
    </row>
    <row r="12" spans="1:12" x14ac:dyDescent="0.3">
      <c r="A12" s="15"/>
      <c r="B12" s="10"/>
      <c r="C12" s="14"/>
      <c r="D12" s="12">
        <f>B12*C12*G2</f>
        <v>0</v>
      </c>
      <c r="E12" s="12">
        <f t="shared" si="0"/>
        <v>0</v>
      </c>
      <c r="F12" s="12">
        <f t="shared" si="1"/>
        <v>0</v>
      </c>
      <c r="G12" s="12">
        <f t="shared" si="2"/>
        <v>0</v>
      </c>
      <c r="H12" s="12">
        <f t="shared" si="3"/>
        <v>0</v>
      </c>
      <c r="I12" s="12">
        <f t="shared" si="4"/>
        <v>0</v>
      </c>
      <c r="J12" s="13">
        <f t="shared" si="5"/>
        <v>0</v>
      </c>
      <c r="K12" s="13">
        <f t="shared" si="6"/>
        <v>0</v>
      </c>
      <c r="L12" s="13">
        <f t="shared" si="7"/>
        <v>0</v>
      </c>
    </row>
    <row r="13" spans="1:12" x14ac:dyDescent="0.3">
      <c r="A13" s="15"/>
      <c r="B13" s="16"/>
      <c r="C13" s="17"/>
      <c r="D13" s="18">
        <f t="shared" ref="D13:J13" si="9">SUM(D5:D12)</f>
        <v>720600</v>
      </c>
      <c r="E13" s="18">
        <f t="shared" si="9"/>
        <v>648540</v>
      </c>
      <c r="F13" s="18">
        <f t="shared" si="9"/>
        <v>576480</v>
      </c>
      <c r="G13" s="18">
        <f t="shared" si="9"/>
        <v>504420</v>
      </c>
      <c r="H13" s="18">
        <f t="shared" si="9"/>
        <v>432360</v>
      </c>
      <c r="I13" s="18">
        <f t="shared" si="9"/>
        <v>360300</v>
      </c>
      <c r="J13" s="19">
        <f t="shared" si="9"/>
        <v>288240</v>
      </c>
      <c r="K13" s="19">
        <f>SUM(K5:K12)</f>
        <v>216180</v>
      </c>
      <c r="L13" s="19">
        <f>SUM(L5:L12)</f>
        <v>144120</v>
      </c>
    </row>
    <row r="14" spans="1:12" x14ac:dyDescent="0.3">
      <c r="A14" s="15" t="s">
        <v>4</v>
      </c>
      <c r="B14" s="20">
        <f>SUM(B5:B13)</f>
        <v>625</v>
      </c>
      <c r="C14" s="17"/>
      <c r="D14" s="21">
        <f>B14</f>
        <v>625</v>
      </c>
      <c r="E14" s="22">
        <f>D14*0.9</f>
        <v>562.5</v>
      </c>
      <c r="F14" s="22">
        <f>D14*0.8</f>
        <v>500</v>
      </c>
      <c r="G14" s="22">
        <f>D14*0.7</f>
        <v>437.5</v>
      </c>
      <c r="H14" s="22">
        <f>D14*0.6</f>
        <v>375</v>
      </c>
      <c r="I14" s="22">
        <f>D14*0.5</f>
        <v>312.5</v>
      </c>
      <c r="J14" s="23">
        <f>D14*0.4</f>
        <v>250</v>
      </c>
      <c r="K14" s="23">
        <f>D14*0.3</f>
        <v>187.5</v>
      </c>
      <c r="L14" s="23">
        <f>D14*0.2</f>
        <v>125</v>
      </c>
    </row>
    <row r="15" spans="1:12" ht="17.399999999999999" x14ac:dyDescent="0.3">
      <c r="A15" s="54" t="s">
        <v>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6" spans="1:12" x14ac:dyDescent="0.3">
      <c r="A16" s="24" t="s">
        <v>6</v>
      </c>
      <c r="B16" s="25"/>
      <c r="C16" s="25"/>
      <c r="D16" s="12">
        <f t="shared" ref="D16:L16" si="10">D13*0.02</f>
        <v>14412</v>
      </c>
      <c r="E16" s="12">
        <f t="shared" si="10"/>
        <v>12970.800000000001</v>
      </c>
      <c r="F16" s="12">
        <f t="shared" si="10"/>
        <v>11529.6</v>
      </c>
      <c r="G16" s="12">
        <f t="shared" si="10"/>
        <v>10088.4</v>
      </c>
      <c r="H16" s="12">
        <f t="shared" si="10"/>
        <v>8647.2000000000007</v>
      </c>
      <c r="I16" s="12">
        <f t="shared" si="10"/>
        <v>7206</v>
      </c>
      <c r="J16" s="13">
        <f t="shared" si="10"/>
        <v>5764.8</v>
      </c>
      <c r="K16" s="13">
        <f t="shared" si="10"/>
        <v>4323.6000000000004</v>
      </c>
      <c r="L16" s="13">
        <f t="shared" si="10"/>
        <v>2882.4</v>
      </c>
    </row>
    <row r="17" spans="1:12" x14ac:dyDescent="0.3">
      <c r="A17" s="24" t="s">
        <v>18</v>
      </c>
      <c r="B17" s="25"/>
      <c r="C17" s="25"/>
      <c r="D17" s="12">
        <f>D13*0.08</f>
        <v>57648</v>
      </c>
      <c r="E17" s="12">
        <f t="shared" ref="E17:L17" si="11">E13*0.08</f>
        <v>51883.200000000004</v>
      </c>
      <c r="F17" s="12">
        <f t="shared" si="11"/>
        <v>46118.400000000001</v>
      </c>
      <c r="G17" s="12">
        <f t="shared" si="11"/>
        <v>40353.599999999999</v>
      </c>
      <c r="H17" s="12">
        <f t="shared" si="11"/>
        <v>34588.800000000003</v>
      </c>
      <c r="I17" s="12">
        <f t="shared" si="11"/>
        <v>28824</v>
      </c>
      <c r="J17" s="12">
        <f t="shared" si="11"/>
        <v>23059.200000000001</v>
      </c>
      <c r="K17" s="12">
        <f t="shared" si="11"/>
        <v>17294.400000000001</v>
      </c>
      <c r="L17" s="12">
        <f t="shared" si="11"/>
        <v>11529.6</v>
      </c>
    </row>
    <row r="18" spans="1:12" x14ac:dyDescent="0.3">
      <c r="A18" s="26"/>
      <c r="B18" s="27" t="s">
        <v>7</v>
      </c>
      <c r="C18" s="28"/>
      <c r="D18" s="29">
        <f t="shared" ref="D18:L18" si="12">D16+D17</f>
        <v>72060</v>
      </c>
      <c r="E18" s="29">
        <f t="shared" si="12"/>
        <v>64854.000000000007</v>
      </c>
      <c r="F18" s="29">
        <f t="shared" si="12"/>
        <v>57648</v>
      </c>
      <c r="G18" s="29">
        <f t="shared" si="12"/>
        <v>50442</v>
      </c>
      <c r="H18" s="29">
        <f t="shared" si="12"/>
        <v>43236</v>
      </c>
      <c r="I18" s="29">
        <f t="shared" si="12"/>
        <v>36030</v>
      </c>
      <c r="J18" s="30">
        <f t="shared" si="12"/>
        <v>28824</v>
      </c>
      <c r="K18" s="30">
        <f t="shared" si="12"/>
        <v>21618</v>
      </c>
      <c r="L18" s="30">
        <f t="shared" si="12"/>
        <v>14412</v>
      </c>
    </row>
    <row r="19" spans="1:12" x14ac:dyDescent="0.3">
      <c r="A19" s="24"/>
      <c r="B19" s="25"/>
      <c r="C19" s="25"/>
      <c r="D19" s="31"/>
      <c r="E19" s="31"/>
      <c r="F19" s="31"/>
      <c r="G19" s="31"/>
      <c r="H19" s="31"/>
      <c r="I19" s="31"/>
      <c r="J19" s="31"/>
      <c r="K19" s="31"/>
      <c r="L19" s="31"/>
    </row>
    <row r="20" spans="1:12" x14ac:dyDescent="0.3">
      <c r="A20" s="24" t="s">
        <v>24</v>
      </c>
      <c r="B20" s="25"/>
      <c r="C20" s="25"/>
      <c r="D20" s="31">
        <v>40000</v>
      </c>
      <c r="E20" s="31">
        <v>40000</v>
      </c>
      <c r="F20" s="31">
        <v>40000</v>
      </c>
      <c r="G20" s="31">
        <v>40000</v>
      </c>
      <c r="H20" s="31">
        <v>40000</v>
      </c>
      <c r="I20" s="31">
        <v>40000</v>
      </c>
      <c r="J20" s="31">
        <v>40000</v>
      </c>
      <c r="K20" s="31">
        <v>40000</v>
      </c>
      <c r="L20" s="31">
        <v>40000</v>
      </c>
    </row>
    <row r="21" spans="1:12" x14ac:dyDescent="0.3">
      <c r="A21" s="24" t="s">
        <v>25</v>
      </c>
      <c r="B21" s="25"/>
      <c r="C21" s="25"/>
      <c r="D21" s="31">
        <v>34600</v>
      </c>
      <c r="E21" s="31">
        <v>34600</v>
      </c>
      <c r="F21" s="31">
        <v>34600</v>
      </c>
      <c r="G21" s="31">
        <v>34600</v>
      </c>
      <c r="H21" s="31">
        <v>34600</v>
      </c>
      <c r="I21" s="31">
        <v>34600</v>
      </c>
      <c r="J21" s="31">
        <v>34600</v>
      </c>
      <c r="K21" s="31">
        <v>34600</v>
      </c>
      <c r="L21" s="31">
        <v>34600</v>
      </c>
    </row>
    <row r="22" spans="1:12" x14ac:dyDescent="0.3">
      <c r="A22" s="24" t="s">
        <v>26</v>
      </c>
      <c r="B22" s="46"/>
      <c r="C22" s="46"/>
      <c r="D22" s="47">
        <v>2700</v>
      </c>
      <c r="E22" s="47">
        <v>2700</v>
      </c>
      <c r="F22" s="47">
        <v>2700</v>
      </c>
      <c r="G22" s="47">
        <v>2700</v>
      </c>
      <c r="H22" s="47">
        <v>2700</v>
      </c>
      <c r="I22" s="47">
        <v>2700</v>
      </c>
      <c r="J22" s="47">
        <v>2700</v>
      </c>
      <c r="K22" s="47">
        <v>2700</v>
      </c>
      <c r="L22" s="47">
        <v>2700</v>
      </c>
    </row>
    <row r="23" spans="1:12" x14ac:dyDescent="0.3">
      <c r="A23" s="24" t="s">
        <v>17</v>
      </c>
      <c r="B23" s="46"/>
      <c r="C23" s="46"/>
      <c r="D23" s="47">
        <v>10000</v>
      </c>
      <c r="E23" s="47">
        <v>10000</v>
      </c>
      <c r="F23" s="47">
        <v>10000</v>
      </c>
      <c r="G23" s="47">
        <v>10000</v>
      </c>
      <c r="H23" s="47">
        <v>10000</v>
      </c>
      <c r="I23" s="47">
        <v>10000</v>
      </c>
      <c r="J23" s="47">
        <v>10000</v>
      </c>
      <c r="K23" s="47">
        <v>10000</v>
      </c>
      <c r="L23" s="47">
        <v>10000</v>
      </c>
    </row>
    <row r="24" spans="1:12" x14ac:dyDescent="0.3">
      <c r="A24" s="49" t="s">
        <v>19</v>
      </c>
      <c r="B24" s="46"/>
      <c r="C24" s="46"/>
      <c r="D24" s="47">
        <v>41000</v>
      </c>
      <c r="E24" s="47">
        <v>41000</v>
      </c>
      <c r="F24" s="47">
        <v>41000</v>
      </c>
      <c r="G24" s="47">
        <v>41000</v>
      </c>
      <c r="H24" s="47">
        <v>41000</v>
      </c>
      <c r="I24" s="47">
        <v>41000</v>
      </c>
      <c r="J24" s="47">
        <v>41000</v>
      </c>
      <c r="K24" s="47">
        <v>41000</v>
      </c>
      <c r="L24" s="47">
        <v>41000</v>
      </c>
    </row>
    <row r="25" spans="1:12" x14ac:dyDescent="0.3">
      <c r="A25" s="24" t="s">
        <v>8</v>
      </c>
      <c r="B25" s="25"/>
      <c r="C25" s="25"/>
      <c r="D25" s="31">
        <v>5000</v>
      </c>
      <c r="E25" s="31">
        <v>5000</v>
      </c>
      <c r="F25" s="31">
        <v>5000</v>
      </c>
      <c r="G25" s="31">
        <v>5000</v>
      </c>
      <c r="H25" s="31">
        <v>5000</v>
      </c>
      <c r="I25" s="31">
        <v>5000</v>
      </c>
      <c r="J25" s="31">
        <v>5000</v>
      </c>
      <c r="K25" s="31">
        <v>5000</v>
      </c>
      <c r="L25" s="31">
        <v>5000</v>
      </c>
    </row>
    <row r="26" spans="1:12" x14ac:dyDescent="0.3">
      <c r="A26" s="24" t="s">
        <v>9</v>
      </c>
      <c r="B26" s="25"/>
      <c r="C26" s="25"/>
      <c r="D26" s="31">
        <v>32044.1</v>
      </c>
      <c r="E26" s="31">
        <v>32044.1</v>
      </c>
      <c r="F26" s="31">
        <v>32044.1</v>
      </c>
      <c r="G26" s="31">
        <v>32044.1</v>
      </c>
      <c r="H26" s="31">
        <v>32044.1</v>
      </c>
      <c r="I26" s="31">
        <v>32044.1</v>
      </c>
      <c r="J26" s="31">
        <v>32044.1</v>
      </c>
      <c r="K26" s="31">
        <v>32044.1</v>
      </c>
      <c r="L26" s="31">
        <v>32044.1</v>
      </c>
    </row>
    <row r="27" spans="1:12" x14ac:dyDescent="0.3">
      <c r="A27" s="24" t="s">
        <v>10</v>
      </c>
      <c r="B27" s="25"/>
      <c r="C27" s="25"/>
      <c r="D27" s="31">
        <v>19500</v>
      </c>
      <c r="E27" s="31">
        <v>19500</v>
      </c>
      <c r="F27" s="31">
        <v>19500</v>
      </c>
      <c r="G27" s="31">
        <v>19500</v>
      </c>
      <c r="H27" s="31">
        <v>19500</v>
      </c>
      <c r="I27" s="31">
        <v>19500</v>
      </c>
      <c r="J27" s="31">
        <v>19500</v>
      </c>
      <c r="K27" s="31">
        <v>19500</v>
      </c>
      <c r="L27" s="31">
        <v>19500</v>
      </c>
    </row>
    <row r="28" spans="1:12" x14ac:dyDescent="0.3">
      <c r="A28" s="24" t="s">
        <v>11</v>
      </c>
      <c r="B28" s="46"/>
      <c r="C28" s="46"/>
      <c r="D28" s="47">
        <v>8000</v>
      </c>
      <c r="E28" s="47">
        <v>8000</v>
      </c>
      <c r="F28" s="47">
        <v>8000</v>
      </c>
      <c r="G28" s="47">
        <v>8000</v>
      </c>
      <c r="H28" s="47">
        <v>8000</v>
      </c>
      <c r="I28" s="47">
        <v>8000</v>
      </c>
      <c r="J28" s="47">
        <v>8000</v>
      </c>
      <c r="K28" s="47">
        <v>8000</v>
      </c>
      <c r="L28" s="47">
        <v>8000</v>
      </c>
    </row>
    <row r="29" spans="1:12" x14ac:dyDescent="0.3">
      <c r="A29" s="24" t="s">
        <v>22</v>
      </c>
      <c r="B29" s="25"/>
      <c r="C29" s="25"/>
      <c r="D29" s="32">
        <v>10000</v>
      </c>
      <c r="E29" s="32">
        <v>10000</v>
      </c>
      <c r="F29" s="32">
        <v>10000</v>
      </c>
      <c r="G29" s="32">
        <v>10000</v>
      </c>
      <c r="H29" s="32">
        <v>10000</v>
      </c>
      <c r="I29" s="32">
        <v>10000</v>
      </c>
      <c r="J29" s="32">
        <v>10000</v>
      </c>
      <c r="K29" s="32">
        <v>10000</v>
      </c>
      <c r="L29" s="32">
        <v>10000</v>
      </c>
    </row>
    <row r="30" spans="1:12" x14ac:dyDescent="0.3">
      <c r="A30" s="24" t="s">
        <v>12</v>
      </c>
      <c r="B30" s="25"/>
      <c r="C30" s="25"/>
      <c r="D30" s="31">
        <v>12000</v>
      </c>
      <c r="E30" s="31">
        <v>12000</v>
      </c>
      <c r="F30" s="31">
        <v>12000</v>
      </c>
      <c r="G30" s="31">
        <v>12000</v>
      </c>
      <c r="H30" s="31">
        <v>12000</v>
      </c>
      <c r="I30" s="31">
        <v>12000</v>
      </c>
      <c r="J30" s="31">
        <v>12000</v>
      </c>
      <c r="K30" s="31">
        <v>12000</v>
      </c>
      <c r="L30" s="31">
        <v>12000</v>
      </c>
    </row>
    <row r="31" spans="1:12" x14ac:dyDescent="0.3">
      <c r="A31" s="24" t="s">
        <v>13</v>
      </c>
      <c r="B31" s="25"/>
      <c r="C31" s="25"/>
      <c r="D31" s="31">
        <v>50000</v>
      </c>
      <c r="E31" s="31">
        <v>50000</v>
      </c>
      <c r="F31" s="31">
        <v>50000</v>
      </c>
      <c r="G31" s="31">
        <v>50000</v>
      </c>
      <c r="H31" s="31">
        <v>50000</v>
      </c>
      <c r="I31" s="31">
        <v>50000</v>
      </c>
      <c r="J31" s="31">
        <v>50000</v>
      </c>
      <c r="K31" s="31">
        <v>50000</v>
      </c>
      <c r="L31" s="31">
        <v>50000</v>
      </c>
    </row>
    <row r="32" spans="1:12" x14ac:dyDescent="0.3">
      <c r="A32" s="24"/>
      <c r="B32" s="25"/>
      <c r="C32" s="25"/>
      <c r="D32" s="31"/>
      <c r="E32" s="31"/>
      <c r="F32" s="31"/>
      <c r="G32" s="31"/>
      <c r="H32" s="31"/>
      <c r="I32" s="31"/>
      <c r="J32" s="31"/>
      <c r="K32" s="31"/>
      <c r="L32" s="31"/>
    </row>
    <row r="33" spans="1:12" x14ac:dyDescent="0.3">
      <c r="A33" s="24"/>
      <c r="B33" s="27" t="s">
        <v>14</v>
      </c>
      <c r="C33" s="28"/>
      <c r="D33" s="33">
        <f t="shared" ref="D33:L33" si="13">SUM(D19:D32)</f>
        <v>264844.09999999998</v>
      </c>
      <c r="E33" s="34">
        <f t="shared" si="13"/>
        <v>264844.09999999998</v>
      </c>
      <c r="F33" s="34">
        <f t="shared" si="13"/>
        <v>264844.09999999998</v>
      </c>
      <c r="G33" s="35">
        <f t="shared" si="13"/>
        <v>264844.09999999998</v>
      </c>
      <c r="H33" s="35">
        <f t="shared" si="13"/>
        <v>264844.09999999998</v>
      </c>
      <c r="I33" s="35">
        <f t="shared" si="13"/>
        <v>264844.09999999998</v>
      </c>
      <c r="J33" s="36">
        <f t="shared" si="13"/>
        <v>264844.09999999998</v>
      </c>
      <c r="K33" s="36">
        <f t="shared" si="13"/>
        <v>264844.09999999998</v>
      </c>
      <c r="L33" s="36">
        <f t="shared" si="13"/>
        <v>264844.09999999998</v>
      </c>
    </row>
    <row r="34" spans="1:12" x14ac:dyDescent="0.3">
      <c r="A34" s="37"/>
      <c r="B34" s="38" t="s">
        <v>15</v>
      </c>
      <c r="C34" s="39"/>
      <c r="D34" s="40">
        <f t="shared" ref="D34:L34" si="14">D13</f>
        <v>720600</v>
      </c>
      <c r="E34" s="40">
        <f t="shared" si="14"/>
        <v>648540</v>
      </c>
      <c r="F34" s="40">
        <f t="shared" si="14"/>
        <v>576480</v>
      </c>
      <c r="G34" s="40">
        <f t="shared" si="14"/>
        <v>504420</v>
      </c>
      <c r="H34" s="40">
        <f t="shared" si="14"/>
        <v>432360</v>
      </c>
      <c r="I34" s="40">
        <f t="shared" si="14"/>
        <v>360300</v>
      </c>
      <c r="J34" s="41">
        <f t="shared" si="14"/>
        <v>288240</v>
      </c>
      <c r="K34" s="41">
        <f t="shared" si="14"/>
        <v>216180</v>
      </c>
      <c r="L34" s="41">
        <f t="shared" si="14"/>
        <v>144120</v>
      </c>
    </row>
    <row r="35" spans="1:12" ht="16.2" thickBot="1" x14ac:dyDescent="0.35">
      <c r="A35" s="42"/>
      <c r="B35" s="43" t="s">
        <v>16</v>
      </c>
      <c r="C35" s="44"/>
      <c r="D35" s="45">
        <f t="shared" ref="D35:L35" si="15">D34-D33-D18</f>
        <v>383695.9</v>
      </c>
      <c r="E35" s="45">
        <f t="shared" si="15"/>
        <v>318841.90000000002</v>
      </c>
      <c r="F35" s="48">
        <f t="shared" si="15"/>
        <v>253987.90000000002</v>
      </c>
      <c r="G35" s="48">
        <f t="shared" si="15"/>
        <v>189133.90000000002</v>
      </c>
      <c r="H35" s="48">
        <f t="shared" si="15"/>
        <v>124279.90000000002</v>
      </c>
      <c r="I35" s="48">
        <f t="shared" si="15"/>
        <v>59425.900000000023</v>
      </c>
      <c r="J35" s="51">
        <f t="shared" si="15"/>
        <v>-5428.0999999999767</v>
      </c>
      <c r="K35" s="51">
        <f t="shared" si="15"/>
        <v>-70282.099999999977</v>
      </c>
      <c r="L35" s="51">
        <f t="shared" si="15"/>
        <v>-135136.09999999998</v>
      </c>
    </row>
  </sheetData>
  <mergeCells count="6">
    <mergeCell ref="A15:L15"/>
    <mergeCell ref="B1:C1"/>
    <mergeCell ref="D1:G1"/>
    <mergeCell ref="I1:L2"/>
    <mergeCell ref="D2:F2"/>
    <mergeCell ref="A3:L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NAHUALA TETARO CEDRUS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Casillas</dc:creator>
  <cp:lastModifiedBy>Arturo Taja Domínguez</cp:lastModifiedBy>
  <cp:lastPrinted>2024-09-19T16:46:06Z</cp:lastPrinted>
  <dcterms:created xsi:type="dcterms:W3CDTF">2017-07-12T21:03:53Z</dcterms:created>
  <dcterms:modified xsi:type="dcterms:W3CDTF">2026-09-07T17:52:03Z</dcterms:modified>
</cp:coreProperties>
</file>